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k Speed Calc" sheetId="1" r:id="rId5"/>
    <sheet state="hidden" name="Base Atk Speed" sheetId="2" r:id="rId6"/>
    <sheet state="hidden" name="Atk Speed Boosts" sheetId="3" r:id="rId7"/>
    <sheet state="hidden" name="Dropdown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">
      <text>
        <t xml:space="preserve">+2, 4, 8 Attack Speed</t>
      </text>
    </comment>
    <comment authorId="0" ref="A14">
      <text>
        <t xml:space="preserve">+8.75 Attack Speed</t>
      </text>
    </comment>
    <comment authorId="0" ref="A13">
      <text>
        <t xml:space="preserve">+25 Attack Speed</t>
      </text>
    </comment>
    <comment authorId="0" ref="A12">
      <text>
        <t xml:space="preserve">+10.5 Attack Speed</t>
      </text>
    </comment>
    <comment authorId="0" ref="A11">
      <text>
        <t xml:space="preserve">+8.75 Attack Speed</t>
      </text>
    </comment>
    <comment authorId="0" ref="A10">
      <text>
        <t xml:space="preserve">+25 Attack Speed</t>
      </text>
    </comment>
  </commentList>
</comments>
</file>

<file path=xl/sharedStrings.xml><?xml version="1.0" encoding="utf-8"?>
<sst xmlns="http://schemas.openxmlformats.org/spreadsheetml/2006/main" count="491" uniqueCount="225">
  <si>
    <t>DESKTOP ONLY. DO NOT ACCESS THIS CALCULATOR FROM MOBILE</t>
  </si>
  <si>
    <t>X-Atk</t>
  </si>
  <si>
    <t>Slot 1   I6</t>
  </si>
  <si>
    <t>Muscle Band</t>
  </si>
  <si>
    <t>Absol</t>
  </si>
  <si>
    <t>Slot 2   I7</t>
  </si>
  <si>
    <t>Slot 3   I8</t>
  </si>
  <si>
    <t>Slot 4   I9</t>
  </si>
  <si>
    <t>Rapid Fire Scarf</t>
  </si>
  <si>
    <t>Patch 1.23.3.12 [Reshiram]</t>
  </si>
  <si>
    <t>Slot 5   I10</t>
  </si>
  <si>
    <t>Slot 6   I11</t>
  </si>
  <si>
    <t>Slot 7   I12</t>
  </si>
  <si>
    <t>RFS Proc</t>
  </si>
  <si>
    <t>Aegislash</t>
  </si>
  <si>
    <t>Choice Scarf</t>
  </si>
  <si>
    <t>Red 3</t>
  </si>
  <si>
    <t>Alcremie</t>
  </si>
  <si>
    <t>Red 5</t>
  </si>
  <si>
    <t>Red 7</t>
  </si>
  <si>
    <t>Armarouge</t>
  </si>
  <si>
    <t>Blissey Helping Hand</t>
  </si>
  <si>
    <t>Articuno</t>
  </si>
  <si>
    <t>Mew Coaching</t>
  </si>
  <si>
    <t>Azumarill</t>
  </si>
  <si>
    <t>Feint</t>
  </si>
  <si>
    <t>Night Slash</t>
  </si>
  <si>
    <t>Blastoise</t>
  </si>
  <si>
    <t>Sucker Punch+</t>
  </si>
  <si>
    <t>Blaziken</t>
  </si>
  <si>
    <t>Sword Stance</t>
  </si>
  <si>
    <t>Shield Stance</t>
  </si>
  <si>
    <t>Blissey</t>
  </si>
  <si>
    <t>Stance Change</t>
  </si>
  <si>
    <t>Buzzwole</t>
  </si>
  <si>
    <t>-</t>
  </si>
  <si>
    <t>Ceruledge</t>
  </si>
  <si>
    <t>Aqua Tail</t>
  </si>
  <si>
    <t>Chandelure</t>
  </si>
  <si>
    <t>Punch Style</t>
  </si>
  <si>
    <t>Beast Boost Assist</t>
  </si>
  <si>
    <t>Charizard</t>
  </si>
  <si>
    <t>Beast Boost KO</t>
  </si>
  <si>
    <t>Charizard [Mega X]</t>
  </si>
  <si>
    <t>Lunge</t>
  </si>
  <si>
    <t>Take Down</t>
  </si>
  <si>
    <t>Charizard [Mega Y]</t>
  </si>
  <si>
    <t>Mewtwo Y</t>
  </si>
  <si>
    <t>Flame Charge</t>
  </si>
  <si>
    <t>Cinderace</t>
  </si>
  <si>
    <t>Clefable</t>
  </si>
  <si>
    <t>Comfey</t>
  </si>
  <si>
    <t>Blaze</t>
  </si>
  <si>
    <t>Base Attack Speed</t>
  </si>
  <si>
    <t>Cramorant</t>
  </si>
  <si>
    <t>Blaze Kick+</t>
  </si>
  <si>
    <t>Crustle</t>
  </si>
  <si>
    <t>Unite Buff</t>
  </si>
  <si>
    <t>Darkrai</t>
  </si>
  <si>
    <t>Decidueye</t>
  </si>
  <si>
    <t>Delphox</t>
  </si>
  <si>
    <t>Dhelmise</t>
  </si>
  <si>
    <t>Auto Attack</t>
  </si>
  <si>
    <t>up to x4</t>
  </si>
  <si>
    <t>Leafage</t>
  </si>
  <si>
    <t>Dodrio</t>
  </si>
  <si>
    <t>Razor Leaf</t>
  </si>
  <si>
    <t>per level</t>
  </si>
  <si>
    <t>Dragapult</t>
  </si>
  <si>
    <t>Dragonite</t>
  </si>
  <si>
    <t>Quick Attack</t>
  </si>
  <si>
    <t>Duraludon</t>
  </si>
  <si>
    <t>Dragon Dance</t>
  </si>
  <si>
    <t>Eldegoss</t>
  </si>
  <si>
    <t>Phantom Force</t>
  </si>
  <si>
    <t>Empoleon</t>
  </si>
  <si>
    <t>Outrage</t>
  </si>
  <si>
    <t>Espeon</t>
  </si>
  <si>
    <t>Flash Cannon</t>
  </si>
  <si>
    <t>decays 20 per second</t>
  </si>
  <si>
    <t>Falinks</t>
  </si>
  <si>
    <t>Feraligatr</t>
  </si>
  <si>
    <t>Aqua Jet</t>
  </si>
  <si>
    <t>Garchomp</t>
  </si>
  <si>
    <t>Bulk Up</t>
  </si>
  <si>
    <t>Crunch</t>
  </si>
  <si>
    <t>Gardevoir</t>
  </si>
  <si>
    <t>Gengar</t>
  </si>
  <si>
    <t>Boosted Attack</t>
  </si>
  <si>
    <t>Sand Attack</t>
  </si>
  <si>
    <t>Glaceon</t>
  </si>
  <si>
    <t>Goodra</t>
  </si>
  <si>
    <t>Eevee Bond</t>
  </si>
  <si>
    <t>Greedent</t>
  </si>
  <si>
    <t>Ice Shard</t>
  </si>
  <si>
    <t>Greninja</t>
  </si>
  <si>
    <t>Ice Shard+</t>
  </si>
  <si>
    <t>Gyarados</t>
  </si>
  <si>
    <t>Gyarados [Mega]</t>
  </si>
  <si>
    <t>Ho-Oh</t>
  </si>
  <si>
    <t>Hoopa</t>
  </si>
  <si>
    <t>Inteleon</t>
  </si>
  <si>
    <t>Evolution</t>
  </si>
  <si>
    <t>Dragon Breath</t>
  </si>
  <si>
    <t>up to x2</t>
  </si>
  <si>
    <t>Lapras</t>
  </si>
  <si>
    <t>Latias</t>
  </si>
  <si>
    <t>Latios</t>
  </si>
  <si>
    <t>Leafeon</t>
  </si>
  <si>
    <t>Lucario</t>
  </si>
  <si>
    <t>Lucario [Mega]</t>
  </si>
  <si>
    <t>Machamp</t>
  </si>
  <si>
    <t>Mamoswine</t>
  </si>
  <si>
    <t>Meganium</t>
  </si>
  <si>
    <t>Submission</t>
  </si>
  <si>
    <t>Submission+</t>
  </si>
  <si>
    <t>Meowscarada</t>
  </si>
  <si>
    <t>Meowth</t>
  </si>
  <si>
    <t>Metagross</t>
  </si>
  <si>
    <t>Hone Claws</t>
  </si>
  <si>
    <t>Trail Blaze</t>
  </si>
  <si>
    <t>Mew</t>
  </si>
  <si>
    <t>DO NOT EVER PRESS DELETE KEY</t>
  </si>
  <si>
    <t>Mewtwo X</t>
  </si>
  <si>
    <t>Additional Attack Speed</t>
  </si>
  <si>
    <t>Pressure</t>
  </si>
  <si>
    <t>Mimikyu</t>
  </si>
  <si>
    <t>up to x10</t>
  </si>
  <si>
    <t>Miraidon</t>
  </si>
  <si>
    <t>Mega Evolution</t>
  </si>
  <si>
    <t>Moltres</t>
  </si>
  <si>
    <t>Mr. Mime</t>
  </si>
  <si>
    <t>Ninetales</t>
  </si>
  <si>
    <t>Aurora Veil</t>
  </si>
  <si>
    <t>Palkia</t>
  </si>
  <si>
    <t>Pawmot</t>
  </si>
  <si>
    <t>Fighter Mode</t>
  </si>
  <si>
    <t>Pikachu</t>
  </si>
  <si>
    <t>Psyduck</t>
  </si>
  <si>
    <t>Quaquaval</t>
  </si>
  <si>
    <t>Raichu</t>
  </si>
  <si>
    <t>Stored Power</t>
  </si>
  <si>
    <t>Rapidash</t>
  </si>
  <si>
    <t>Reshiram</t>
  </si>
  <si>
    <t>Sableye</t>
  </si>
  <si>
    <t>Scizor</t>
  </si>
  <si>
    <t>Scyther</t>
  </si>
  <si>
    <t>Sirfetch'd</t>
  </si>
  <si>
    <t>Skeledirge</t>
  </si>
  <si>
    <t>Slowbro</t>
  </si>
  <si>
    <t>Snorlax</t>
  </si>
  <si>
    <t>Suicune</t>
  </si>
  <si>
    <t>Sylveon</t>
  </si>
  <si>
    <t>Talonflame</t>
  </si>
  <si>
    <t>Tinkaton</t>
  </si>
  <si>
    <t>Trevenant</t>
  </si>
  <si>
    <t>Tsareena</t>
  </si>
  <si>
    <t>Triple Axel</t>
  </si>
  <si>
    <t>up to x3</t>
  </si>
  <si>
    <t>Typhlosion</t>
  </si>
  <si>
    <t>Tyranitar</t>
  </si>
  <si>
    <t>Umbreon</t>
  </si>
  <si>
    <t>Urshifu</t>
  </si>
  <si>
    <t>Vaporeon</t>
  </si>
  <si>
    <t>Venusaur</t>
  </si>
  <si>
    <t>Wigglytuff</t>
  </si>
  <si>
    <t>Yveltal</t>
  </si>
  <si>
    <t>Zacian</t>
  </si>
  <si>
    <t>Metal Claw</t>
  </si>
  <si>
    <t>Zapdos</t>
  </si>
  <si>
    <t>Zeraora</t>
  </si>
  <si>
    <t>Agility</t>
  </si>
  <si>
    <t>Volt Switch</t>
  </si>
  <si>
    <t>Volt Switch+</t>
  </si>
  <si>
    <t>Zoroark</t>
  </si>
  <si>
    <t>Multiplicative Attack Speed</t>
  </si>
  <si>
    <t>Items</t>
  </si>
  <si>
    <t>Build A</t>
  </si>
  <si>
    <t>Build B</t>
  </si>
  <si>
    <t>Universal Attack Speed Boost Effects</t>
  </si>
  <si>
    <t>Attack Speed Boost Effects</t>
  </si>
  <si>
    <t>Other (Additive)</t>
  </si>
  <si>
    <t>Other (Multiplier)</t>
  </si>
  <si>
    <t>Rapid Fire Scarf Proc</t>
  </si>
  <si>
    <t>Red Emblems</t>
  </si>
  <si>
    <t>Total Attack Speed</t>
  </si>
  <si>
    <t>No Items</t>
  </si>
  <si>
    <t>Attack Speed Frames</t>
  </si>
  <si>
    <t>vvvvv Attack Speed Heatmap vvvvv</t>
  </si>
  <si>
    <t>Base AS</t>
  </si>
  <si>
    <t>R3</t>
  </si>
  <si>
    <t>R5</t>
  </si>
  <si>
    <t>R7</t>
  </si>
  <si>
    <t>MB/CS</t>
  </si>
  <si>
    <t>RFS</t>
  </si>
  <si>
    <t>R3
+MB/CS</t>
  </si>
  <si>
    <t>R3
+RFS</t>
  </si>
  <si>
    <t>R5
+MB/CS</t>
  </si>
  <si>
    <t>R5
+RFS</t>
  </si>
  <si>
    <t>R7
+MB/CS</t>
  </si>
  <si>
    <t>R7
+RFS</t>
  </si>
  <si>
    <t>RFS
+MB/CS</t>
  </si>
  <si>
    <t>R3
+RFS
+MB/CS</t>
  </si>
  <si>
    <t>R5
+RFS
+MB/CS</t>
  </si>
  <si>
    <t>R7
+RFS
+MB/CS</t>
  </si>
  <si>
    <t>RFS
+MB
+CS</t>
  </si>
  <si>
    <t>R3
+RFS
+MB
+CS</t>
  </si>
  <si>
    <t>R5
+RFS
+MB
+CS</t>
  </si>
  <si>
    <t>R7
+RFS
+MB
+CS</t>
  </si>
  <si>
    <t xml:space="preserve">Level 1   </t>
  </si>
  <si>
    <t xml:space="preserve">Level 2   </t>
  </si>
  <si>
    <t xml:space="preserve">Level 3   </t>
  </si>
  <si>
    <t xml:space="preserve">Level 4   </t>
  </si>
  <si>
    <t xml:space="preserve">Level 5   </t>
  </si>
  <si>
    <t xml:space="preserve">Level 6   </t>
  </si>
  <si>
    <t xml:space="preserve">Level 7   </t>
  </si>
  <si>
    <t xml:space="preserve">Level 8   </t>
  </si>
  <si>
    <t xml:space="preserve">Level 9   </t>
  </si>
  <si>
    <t xml:space="preserve">Level 10 </t>
  </si>
  <si>
    <t xml:space="preserve">Level 11 </t>
  </si>
  <si>
    <t xml:space="preserve">Level 12 </t>
  </si>
  <si>
    <t xml:space="preserve">Level 13 </t>
  </si>
  <si>
    <t xml:space="preserve">Level 14 </t>
  </si>
  <si>
    <t xml:space="preserve">Level 15 </t>
  </si>
  <si>
    <t>Attack Speed Heatmap Calculations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</si>
</sst>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rgb="FFEFEFEF"/>
      <name val="Arial"/>
      <scheme val="minor"/>
    </font>
    <font>
      <sz val="18.0"/>
      <color rgb="FFFFFFFF"/>
      <name val="Arial"/>
      <scheme val="minor"/>
    </font>
    <font>
      <b/>
      <color rgb="FFEFEFEF"/>
      <name val="Arial"/>
      <scheme val="minor"/>
    </font>
    <font>
      <color theme="1"/>
      <name val="Arial"/>
      <scheme val="minor"/>
    </font>
    <font>
      <b/>
      <sz val="11.0"/>
      <color rgb="FFEFEFEF"/>
      <name val="Times New Roman"/>
    </font>
    <font>
      <color rgb="FFFFFFFF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>
      <b/>
      <sz val="16.0"/>
      <color theme="1"/>
      <name val="Arial"/>
      <scheme val="minor"/>
    </font>
    <font>
      <sz val="10.0"/>
      <color theme="1"/>
      <name val="Arial"/>
      <scheme val="minor"/>
    </font>
    <font/>
    <font>
      <b/>
      <sz val="20.0"/>
      <color theme="1"/>
      <name val="Arial"/>
      <scheme val="minor"/>
    </font>
    <font>
      <sz val="11.0"/>
      <color theme="1"/>
      <name val="Arial"/>
      <scheme val="minor"/>
    </font>
    <font>
      <sz val="9.0"/>
      <color theme="1"/>
      <name val="Arial"/>
      <scheme val="minor"/>
    </font>
    <font>
      <b/>
      <color rgb="FF00FFFF"/>
      <name val="Arial"/>
      <scheme val="minor"/>
    </font>
    <font>
      <b/>
      <color rgb="FF00FFFF"/>
      <name val="Arial"/>
    </font>
    <font>
      <color rgb="FF00FFFF"/>
      <name val="Arial"/>
    </font>
    <font>
      <color theme="1"/>
      <name val="Arial"/>
    </font>
    <font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3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left style="thin">
        <color rgb="FF000000"/>
      </left>
    </border>
    <border>
      <left style="thin">
        <color rgb="FFCCCCCC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CCCCCC"/>
      </left>
      <bottom style="thin">
        <color rgb="FFCCCCCC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right style="thin">
        <color rgb="FFCCCCCC"/>
      </right>
      <top style="thin">
        <color rgb="FFCCCCCC"/>
      </top>
    </border>
    <border>
      <right style="thin">
        <color rgb="FFCCCCCC"/>
      </right>
    </border>
    <border>
      <right style="thin">
        <color rgb="FFCCCCCC"/>
      </right>
      <bottom style="thin">
        <color rgb="FFCCCCCC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/>
    </xf>
    <xf borderId="0" fillId="2" fontId="3" numFmtId="0" xfId="0" applyAlignment="1" applyFill="1" applyFont="1">
      <alignment horizontal="center" readingOrder="0"/>
    </xf>
    <xf borderId="0" fillId="2" fontId="1" numFmtId="0" xfId="0" applyAlignment="1" applyFill="1" applyFont="1">
      <alignment readingOrder="0"/>
    </xf>
    <xf borderId="0" fillId="4" fontId="4" numFmtId="0" xfId="0" applyFill="1" applyFont="1"/>
    <xf borderId="0" fillId="2" fontId="5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left" readingOrder="0" shrinkToFit="0" wrapText="0"/>
    </xf>
    <xf borderId="0" fillId="3" fontId="6" numFmtId="0" xfId="0" applyAlignment="1" applyFill="1" applyFont="1">
      <alignment horizontal="center" readingOrder="0"/>
    </xf>
    <xf borderId="0" fillId="2" fontId="1" numFmtId="10" xfId="0" applyAlignment="1" applyFill="1" applyFont="1" applyNumberFormat="1">
      <alignment horizontal="center" readingOrder="0"/>
    </xf>
    <xf borderId="1" fillId="3" fontId="7" numFmtId="0" xfId="0" applyAlignment="1" applyBorder="1" applyFill="1" applyFont="1">
      <alignment horizontal="left" readingOrder="0"/>
    </xf>
    <xf borderId="2" fillId="3" fontId="6" numFmtId="0" xfId="0" applyAlignment="1" applyBorder="1" applyFill="1" applyFont="1">
      <alignment horizontal="center" readingOrder="0"/>
    </xf>
    <xf borderId="3" fillId="3" fontId="8" numFmtId="0" xfId="0" applyAlignment="1" applyBorder="1" applyFill="1" applyFont="1">
      <alignment readingOrder="0"/>
    </xf>
    <xf borderId="4" fillId="5" fontId="4" numFmtId="0" xfId="0" applyBorder="1" applyFill="1" applyFont="1"/>
    <xf borderId="0" fillId="2" fontId="1" numFmtId="0" xfId="0" applyAlignment="1" applyFill="1" applyFont="1">
      <alignment horizontal="center" vertical="bottom"/>
    </xf>
    <xf borderId="5" fillId="5" fontId="4" numFmtId="0" xfId="0" applyBorder="1" applyFill="1" applyFont="1"/>
    <xf borderId="0" fillId="2" fontId="1" numFmtId="0" xfId="0" applyAlignment="1" applyFill="1" applyFont="1">
      <alignment horizontal="center" readingOrder="0" vertical="bottom"/>
    </xf>
    <xf borderId="6" fillId="5" fontId="4" numFmtId="0" xfId="0" applyBorder="1" applyFill="1" applyFont="1"/>
    <xf borderId="0" fillId="6" fontId="9" numFmtId="0" xfId="0" applyAlignment="1" applyFill="1" applyFont="1">
      <alignment readingOrder="0" shrinkToFit="0" wrapText="1"/>
    </xf>
    <xf borderId="0" fillId="2" fontId="1" numFmtId="3" xfId="0" applyAlignment="1" applyFill="1" applyFont="1" applyNumberFormat="1">
      <alignment readingOrder="0"/>
    </xf>
    <xf borderId="0" fillId="2" fontId="3" numFmtId="0" xfId="0" applyFill="1" applyFont="1"/>
    <xf borderId="0" fillId="2" fontId="1" numFmtId="0" xfId="0" applyAlignment="1" applyFill="1" applyFont="1">
      <alignment horizontal="center"/>
    </xf>
    <xf borderId="0" fillId="5" fontId="4" numFmtId="0" xfId="0" applyFill="1" applyFont="1"/>
    <xf borderId="0" fillId="5" fontId="4" numFmtId="3" xfId="0" applyFill="1" applyFont="1" applyNumberFormat="1"/>
    <xf borderId="0" fillId="5" fontId="4" numFmtId="9" xfId="0" applyAlignment="1" applyFill="1" applyFont="1" applyNumberFormat="1">
      <alignment readingOrder="0"/>
    </xf>
    <xf borderId="0" fillId="4" fontId="4" numFmtId="0" xfId="0" applyAlignment="1" applyFill="1" applyFont="1">
      <alignment readingOrder="0"/>
    </xf>
    <xf borderId="1" fillId="3" fontId="8" numFmtId="0" xfId="0" applyAlignment="1" applyBorder="1" applyFill="1" applyFont="1">
      <alignment horizontal="center" readingOrder="0"/>
    </xf>
    <xf borderId="7" fillId="3" fontId="8" numFmtId="0" xfId="0" applyAlignment="1" applyBorder="1" applyFill="1" applyFont="1">
      <alignment horizontal="center" readingOrder="0" shrinkToFit="0" vertical="center" wrapText="1"/>
    </xf>
    <xf borderId="4" fillId="0" fontId="10" numFmtId="0" xfId="0" applyAlignment="1" applyBorder="1" applyFont="1">
      <alignment readingOrder="0" shrinkToFit="0" vertical="center" wrapText="1"/>
    </xf>
    <xf borderId="5" fillId="0" fontId="11" numFmtId="0" xfId="0" applyBorder="1" applyFont="1"/>
    <xf borderId="6" fillId="0" fontId="4" numFmtId="0" xfId="0" applyAlignment="1" applyBorder="1" applyFont="1">
      <alignment readingOrder="0"/>
    </xf>
    <xf borderId="8" fillId="3" fontId="8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readingOrder="0"/>
    </xf>
    <xf borderId="4" fillId="0" fontId="12" numFmtId="0" xfId="0" applyAlignment="1" applyBorder="1" applyFont="1">
      <alignment horizontal="center" shrinkToFit="0" vertical="center" wrapText="1"/>
    </xf>
    <xf borderId="6" fillId="0" fontId="11" numFmtId="0" xfId="0" applyBorder="1" applyFont="1"/>
    <xf borderId="1" fillId="3" fontId="8" numFmtId="0" xfId="0" applyAlignment="1" applyBorder="1" applyFill="1" applyFont="1">
      <alignment horizontal="right" readingOrder="0"/>
    </xf>
    <xf borderId="0" fillId="5" fontId="13" numFmtId="0" xfId="0" applyAlignment="1" applyFill="1" applyFont="1">
      <alignment readingOrder="0"/>
    </xf>
    <xf borderId="9" fillId="5" fontId="4" numFmtId="0" xfId="0" applyAlignment="1" applyBorder="1" applyFill="1" applyFont="1">
      <alignment readingOrder="0"/>
    </xf>
    <xf borderId="10" fillId="0" fontId="11" numFmtId="0" xfId="0" applyBorder="1" applyFont="1"/>
    <xf borderId="9" fillId="0" fontId="10" numFmtId="0" xfId="0" applyAlignment="1" applyBorder="1" applyFont="1">
      <alignment readingOrder="0" shrinkToFit="0" vertical="center" wrapText="1"/>
    </xf>
    <xf borderId="11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shrinkToFit="0" wrapText="1"/>
    </xf>
    <xf borderId="0" fillId="0" fontId="4" numFmtId="0" xfId="0" applyAlignment="1" applyFont="1">
      <alignment readingOrder="0"/>
    </xf>
    <xf borderId="11" fillId="0" fontId="4" numFmtId="0" xfId="0" applyAlignment="1" applyBorder="1" applyFont="1">
      <alignment readingOrder="0"/>
    </xf>
    <xf borderId="9" fillId="0" fontId="11" numFmtId="0" xfId="0" applyBorder="1" applyFont="1"/>
    <xf borderId="11" fillId="0" fontId="11" numFmtId="0" xfId="0" applyBorder="1" applyFont="1"/>
    <xf borderId="0" fillId="5" fontId="4" numFmtId="0" xfId="0" applyAlignment="1" applyFill="1" applyFont="1">
      <alignment readingOrder="0"/>
    </xf>
    <xf borderId="9" fillId="6" fontId="4" numFmtId="0" xfId="0" applyAlignment="1" applyBorder="1" applyFill="1" applyFont="1">
      <alignment readingOrder="0" shrinkToFit="0" vertical="center" wrapText="1"/>
    </xf>
    <xf borderId="11" fillId="6" fontId="4" numFmtId="0" xfId="0" applyAlignment="1" applyBorder="1" applyFill="1" applyFont="1">
      <alignment horizontal="center" readingOrder="0" vertical="center"/>
    </xf>
    <xf borderId="11" fillId="6" fontId="4" numFmtId="9" xfId="0" applyAlignment="1" applyBorder="1" applyFill="1" applyFont="1" applyNumberFormat="1">
      <alignment horizontal="center" readingOrder="0" vertical="center"/>
    </xf>
    <xf borderId="9" fillId="7" fontId="4" numFmtId="0" xfId="0" applyAlignment="1" applyBorder="1" applyFill="1" applyFont="1">
      <alignment shrinkToFit="0" vertical="center" wrapText="1"/>
    </xf>
    <xf borderId="11" fillId="7" fontId="4" numFmtId="0" xfId="0" applyAlignment="1" applyBorder="1" applyFill="1" applyFont="1">
      <alignment horizontal="center" vertical="center"/>
    </xf>
    <xf borderId="9" fillId="5" fontId="4" numFmtId="0" xfId="0" applyAlignment="1" applyBorder="1" applyFill="1" applyFont="1">
      <alignment horizontal="center" readingOrder="0"/>
    </xf>
    <xf borderId="12" fillId="5" fontId="14" numFmtId="0" xfId="0" applyAlignment="1" applyBorder="1" applyFill="1" applyFont="1">
      <alignment horizontal="center" readingOrder="0" shrinkToFit="0" vertical="center" wrapText="0"/>
    </xf>
    <xf borderId="13" fillId="0" fontId="11" numFmtId="0" xfId="0" applyBorder="1" applyFont="1"/>
    <xf borderId="12" fillId="7" fontId="4" numFmtId="0" xfId="0" applyAlignment="1" applyBorder="1" applyFill="1" applyFont="1">
      <alignment shrinkToFit="0" vertical="center" wrapText="1"/>
    </xf>
    <xf borderId="14" fillId="0" fontId="11" numFmtId="0" xfId="0" applyBorder="1" applyFont="1"/>
    <xf borderId="15" fillId="7" fontId="4" numFmtId="0" xfId="0" applyAlignment="1" applyBorder="1" applyFill="1" applyFont="1">
      <alignment horizontal="center" vertical="center"/>
    </xf>
    <xf borderId="16" fillId="0" fontId="11" numFmtId="0" xfId="0" applyBorder="1" applyFont="1"/>
    <xf borderId="12" fillId="0" fontId="4" numFmtId="0" xfId="0" applyAlignment="1" applyBorder="1" applyFont="1">
      <alignment shrinkToFit="0" wrapText="1"/>
    </xf>
    <xf borderId="14" fillId="0" fontId="4" numFmtId="0" xfId="0" applyAlignment="1" applyBorder="1" applyFont="1">
      <alignment readingOrder="0"/>
    </xf>
    <xf borderId="15" fillId="0" fontId="4" numFmtId="0" xfId="0" applyAlignment="1" applyBorder="1" applyFont="1">
      <alignment readingOrder="0"/>
    </xf>
    <xf borderId="12" fillId="0" fontId="11" numFmtId="0" xfId="0" applyBorder="1" applyFont="1"/>
    <xf borderId="15" fillId="0" fontId="11" numFmtId="0" xfId="0" applyBorder="1" applyFont="1"/>
    <xf borderId="1" fillId="3" fontId="15" numFmtId="0" xfId="0" applyAlignment="1" applyBorder="1" applyFill="1" applyFont="1">
      <alignment horizontal="center" readingOrder="0"/>
    </xf>
    <xf borderId="3" fillId="3" fontId="15" numFmtId="0" xfId="0" applyAlignment="1" applyBorder="1" applyFill="1" applyFont="1">
      <alignment horizontal="right" readingOrder="0"/>
    </xf>
    <xf borderId="9" fillId="5" fontId="4" numFmtId="0" xfId="0" applyBorder="1" applyFill="1" applyFont="1"/>
    <xf borderId="11" fillId="5" fontId="4" numFmtId="0" xfId="0" applyBorder="1" applyFill="1" applyFont="1"/>
    <xf borderId="12" fillId="5" fontId="4" numFmtId="0" xfId="0" applyBorder="1" applyFill="1" applyFont="1"/>
    <xf borderId="14" fillId="5" fontId="4" numFmtId="0" xfId="0" applyBorder="1" applyFill="1" applyFont="1"/>
    <xf borderId="15" fillId="5" fontId="4" numFmtId="0" xfId="0" applyBorder="1" applyFill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9" fillId="0" fontId="4" numFmtId="0" xfId="0" applyBorder="1" applyFont="1"/>
    <xf borderId="0" fillId="0" fontId="4" numFmtId="0" xfId="0" applyFont="1"/>
    <xf borderId="11" fillId="0" fontId="4" numFmtId="0" xfId="0" applyBorder="1" applyFont="1"/>
    <xf borderId="12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" fillId="3" fontId="15" numFmtId="0" xfId="0" applyAlignment="1" applyBorder="1" applyFill="1" applyFont="1">
      <alignment horizontal="right"/>
    </xf>
    <xf borderId="15" fillId="0" fontId="4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3" fillId="3" fontId="16" numFmtId="0" xfId="0" applyAlignment="1" applyBorder="1" applyFill="1" applyFont="1">
      <alignment horizontal="center" vertical="bottom"/>
    </xf>
    <xf borderId="18" fillId="0" fontId="11" numFmtId="0" xfId="0" applyBorder="1" applyFont="1"/>
    <xf borderId="19" fillId="0" fontId="11" numFmtId="0" xfId="0" applyBorder="1" applyFont="1"/>
    <xf borderId="13" fillId="3" fontId="16" numFmtId="0" xfId="0" applyAlignment="1" applyBorder="1" applyFill="1" applyFont="1">
      <alignment horizontal="center" shrinkToFit="0" vertical="center" wrapText="1"/>
    </xf>
    <xf borderId="20" fillId="3" fontId="17" numFmtId="0" xfId="0" applyAlignment="1" applyBorder="1" applyFill="1" applyFont="1">
      <alignment horizontal="center" shrinkToFit="0" vertical="center" wrapText="1"/>
    </xf>
    <xf borderId="20" fillId="3" fontId="17" numFmtId="0" xfId="0" applyAlignment="1" applyBorder="1" applyFill="1" applyFont="1">
      <alignment horizontal="center" readingOrder="0" shrinkToFit="0" vertical="center" wrapText="1"/>
    </xf>
    <xf borderId="3" fillId="3" fontId="17" numFmtId="0" xfId="0" applyAlignment="1" applyBorder="1" applyFill="1" applyFont="1">
      <alignment horizontal="right" vertical="bottom"/>
    </xf>
    <xf borderId="7" fillId="6" fontId="18" numFmtId="0" xfId="0" applyAlignment="1" applyBorder="1" applyFill="1" applyFont="1">
      <alignment horizontal="right" vertical="bottom"/>
    </xf>
    <xf borderId="8" fillId="6" fontId="18" numFmtId="0" xfId="0" applyAlignment="1" applyBorder="1" applyFill="1" applyFont="1">
      <alignment horizontal="right" vertical="bottom"/>
    </xf>
    <xf borderId="21" fillId="6" fontId="18" numFmtId="0" xfId="0" applyAlignment="1" applyBorder="1" applyFill="1" applyFont="1">
      <alignment horizontal="right" vertical="bottom"/>
    </xf>
    <xf borderId="10" fillId="6" fontId="18" numFmtId="0" xfId="0" applyAlignment="1" applyBorder="1" applyFill="1" applyFont="1">
      <alignment horizontal="right" vertical="bottom"/>
    </xf>
    <xf borderId="0" fillId="6" fontId="18" numFmtId="0" xfId="0" applyAlignment="1" applyFill="1" applyFont="1">
      <alignment horizontal="right" vertical="bottom"/>
    </xf>
    <xf borderId="22" fillId="6" fontId="18" numFmtId="0" xfId="0" applyAlignment="1" applyBorder="1" applyFill="1" applyFont="1">
      <alignment horizontal="right" vertical="bottom"/>
    </xf>
    <xf borderId="13" fillId="6" fontId="18" numFmtId="0" xfId="0" applyAlignment="1" applyBorder="1" applyFill="1" applyFont="1">
      <alignment horizontal="right" vertical="bottom"/>
    </xf>
    <xf borderId="16" fillId="6" fontId="18" numFmtId="0" xfId="0" applyAlignment="1" applyBorder="1" applyFill="1" applyFont="1">
      <alignment horizontal="right" vertical="bottom"/>
    </xf>
    <xf borderId="23" fillId="6" fontId="18" numFmtId="0" xfId="0" applyAlignment="1" applyBorder="1" applyFill="1" applyFont="1">
      <alignment horizontal="right" vertical="bottom"/>
    </xf>
    <xf borderId="24" fillId="3" fontId="16" numFmtId="0" xfId="0" applyAlignment="1" applyBorder="1" applyFill="1" applyFont="1">
      <alignment horizontal="center" vertical="bottom"/>
    </xf>
    <xf borderId="25" fillId="0" fontId="11" numFmtId="0" xfId="0" applyBorder="1" applyFont="1"/>
    <xf borderId="26" fillId="0" fontId="11" numFmtId="0" xfId="0" applyBorder="1" applyFont="1"/>
    <xf borderId="27" fillId="3" fontId="18" numFmtId="0" xfId="0" applyAlignment="1" applyBorder="1" applyFill="1" applyFont="1">
      <alignment vertical="bottom"/>
    </xf>
    <xf borderId="27" fillId="3" fontId="17" numFmtId="0" xfId="0" applyAlignment="1" applyBorder="1" applyFill="1" applyFont="1">
      <alignment horizontal="center" vertical="center"/>
    </xf>
    <xf borderId="27" fillId="3" fontId="17" numFmtId="0" xfId="0" applyAlignment="1" applyBorder="1" applyFill="1" applyFont="1">
      <alignment horizontal="center" readingOrder="0" vertical="center"/>
    </xf>
    <xf borderId="27" fillId="3" fontId="17" numFmtId="0" xfId="0" applyAlignment="1" applyBorder="1" applyFill="1" applyFont="1">
      <alignment horizontal="right" vertical="bottom"/>
    </xf>
    <xf borderId="28" fillId="3" fontId="19" numFmtId="0" xfId="0" applyAlignment="1" applyBorder="1" applyFill="1" applyFont="1">
      <alignment horizontal="right" vertical="bottom"/>
    </xf>
    <xf borderId="29" fillId="3" fontId="19" numFmtId="0" xfId="0" applyAlignment="1" applyBorder="1" applyFill="1" applyFont="1">
      <alignment horizontal="right" vertical="bottom"/>
    </xf>
    <xf borderId="30" fillId="3" fontId="19" numFmtId="0" xfId="0" applyAlignment="1" applyBorder="1" applyFill="1" applyFont="1">
      <alignment horizontal="right" vertical="bottom"/>
    </xf>
    <xf borderId="31" fillId="3" fontId="19" numFmtId="0" xfId="0" applyAlignment="1" applyBorder="1" applyFill="1" applyFont="1">
      <alignment horizontal="right" vertical="bottom"/>
    </xf>
    <xf borderId="0" fillId="3" fontId="19" numFmtId="0" xfId="0" applyAlignment="1" applyFill="1" applyFont="1">
      <alignment horizontal="right" vertical="bottom"/>
    </xf>
    <xf borderId="32" fillId="3" fontId="19" numFmtId="0" xfId="0" applyAlignment="1" applyBorder="1" applyFill="1" applyFont="1">
      <alignment horizontal="right" vertical="bottom"/>
    </xf>
    <xf borderId="33" fillId="3" fontId="19" numFmtId="0" xfId="0" applyAlignment="1" applyBorder="1" applyFill="1" applyFont="1">
      <alignment horizontal="right" vertical="bottom"/>
    </xf>
    <xf borderId="34" fillId="3" fontId="19" numFmtId="0" xfId="0" applyAlignment="1" applyBorder="1" applyFill="1" applyFont="1">
      <alignment horizontal="right" vertical="bottom"/>
    </xf>
    <xf borderId="35" fillId="3" fontId="19" numFmtId="0" xfId="0" applyAlignment="1" applyBorder="1" applyFill="1" applyFont="1">
      <alignment horizontal="right" vertical="bottom"/>
    </xf>
    <xf borderId="0" fillId="4" fontId="17" numFmtId="0" xfId="0" applyAlignment="1" applyFill="1" applyFont="1">
      <alignment horizontal="right" vertical="bottom"/>
    </xf>
    <xf borderId="0" fillId="4" fontId="19" numFmtId="0" xfId="0" applyAlignment="1" applyFill="1" applyFont="1">
      <alignment horizontal="right" vertical="bottom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63"/>
    <col customWidth="1" min="2" max="21" width="10.13"/>
    <col customWidth="1" min="22" max="22" width="2.63"/>
  </cols>
  <sheetData>
    <row r="1">
      <c r="A1" s="2" t="s">
        <v>0</v>
      </c>
      <c r="Q1" s="5"/>
      <c r="R1" s="5"/>
      <c r="S1" s="5"/>
      <c r="T1" s="5"/>
      <c r="U1" s="5"/>
      <c r="V1" s="5"/>
    </row>
    <row r="2">
      <c r="Q2" s="5"/>
      <c r="R2" s="5"/>
      <c r="S2" s="5"/>
      <c r="T2" s="5"/>
      <c r="U2" s="5"/>
      <c r="V2" s="5"/>
    </row>
    <row r="3">
      <c r="A3" s="9" t="s">
        <v>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5"/>
      <c r="R3" s="5"/>
      <c r="S3" s="5"/>
      <c r="T3" s="5"/>
      <c r="U3" s="5"/>
      <c r="V3" s="5"/>
    </row>
    <row r="4">
      <c r="A4" s="12" t="s">
        <v>47</v>
      </c>
      <c r="B4" s="13">
        <v>1.0</v>
      </c>
      <c r="C4" s="13">
        <v>2.0</v>
      </c>
      <c r="D4" s="13">
        <v>3.0</v>
      </c>
      <c r="E4" s="13">
        <v>4.0</v>
      </c>
      <c r="F4" s="13">
        <v>5.0</v>
      </c>
      <c r="G4" s="13">
        <v>6.0</v>
      </c>
      <c r="H4" s="13">
        <v>7.0</v>
      </c>
      <c r="I4" s="13">
        <v>8.0</v>
      </c>
      <c r="J4" s="13">
        <v>9.0</v>
      </c>
      <c r="K4" s="13">
        <v>10.0</v>
      </c>
      <c r="L4" s="13">
        <v>11.0</v>
      </c>
      <c r="M4" s="13">
        <v>12.0</v>
      </c>
      <c r="N4" s="13">
        <v>13.0</v>
      </c>
      <c r="O4" s="13">
        <v>14.0</v>
      </c>
      <c r="P4" s="13">
        <v>15.0</v>
      </c>
      <c r="Q4" s="5"/>
      <c r="R4" s="5"/>
      <c r="S4" s="5"/>
      <c r="T4" s="5"/>
      <c r="U4" s="5"/>
      <c r="V4" s="5"/>
    </row>
    <row r="5">
      <c r="A5" s="14" t="s">
        <v>53</v>
      </c>
      <c r="B5" s="15">
        <f t="array" ref="B5">INDEX('Base Atk Speed'!$A:$P,MATCH($A$4,'Base Atk Speed'!$A:$A,0),MATCH(B4,'Base Atk Speed'!1:1,0))</f>
        <v>10</v>
      </c>
      <c r="C5" s="17">
        <f t="array" ref="C5">INDEX('Base Atk Speed'!$A:$P,MATCH($A$4,'Base Atk Speed'!$A:$A,0),MATCH(C4,'Base Atk Speed'!1:1,0))</f>
        <v>11.42</v>
      </c>
      <c r="D5" s="17">
        <f t="array" ref="D5">INDEX('Base Atk Speed'!$A:$P,MATCH($A$4,'Base Atk Speed'!$A:$A,0),MATCH(D4,'Base Atk Speed'!1:1,0))</f>
        <v>12.99</v>
      </c>
      <c r="E5" s="17">
        <f t="array" ref="E5">INDEX('Base Atk Speed'!$A:$P,MATCH($A$4,'Base Atk Speed'!$A:$A,0),MATCH(E4,'Base Atk Speed'!1:1,0))</f>
        <v>14.71</v>
      </c>
      <c r="F5" s="17">
        <f t="array" ref="F5">INDEX('Base Atk Speed'!$A:$P,MATCH($A$4,'Base Atk Speed'!$A:$A,0),MATCH(F4,'Base Atk Speed'!1:1,0))</f>
        <v>16.6</v>
      </c>
      <c r="G5" s="17">
        <f t="array" ref="G5">INDEX('Base Atk Speed'!$A:$P,MATCH($A$4,'Base Atk Speed'!$A:$A,0),MATCH(G4,'Base Atk Speed'!1:1,0))</f>
        <v>18.68</v>
      </c>
      <c r="H5" s="17">
        <f t="array" ref="H5">INDEX('Base Atk Speed'!$A:$P,MATCH($A$4,'Base Atk Speed'!$A:$A,0),MATCH(H4,'Base Atk Speed'!1:1,0))</f>
        <v>20.97</v>
      </c>
      <c r="I5" s="17">
        <f t="array" ref="I5">INDEX('Base Atk Speed'!$A:$P,MATCH($A$4,'Base Atk Speed'!$A:$A,0),MATCH(I4,'Base Atk Speed'!1:1,0))</f>
        <v>23.49</v>
      </c>
      <c r="J5" s="17">
        <f t="array" ref="J5">INDEX('Base Atk Speed'!$A:$P,MATCH($A$4,'Base Atk Speed'!$A:$A,0),MATCH(J4,'Base Atk Speed'!1:1,0))</f>
        <v>26.27</v>
      </c>
      <c r="K5" s="17">
        <f t="array" ref="K5">INDEX('Base Atk Speed'!$A:$P,MATCH($A$4,'Base Atk Speed'!$A:$A,0),MATCH(K4,'Base Atk Speed'!1:1,0))</f>
        <v>29.34</v>
      </c>
      <c r="L5" s="17">
        <f t="array" ref="L5">INDEX('Base Atk Speed'!$A:$P,MATCH($A$4,'Base Atk Speed'!$A:$A,0),MATCH(L4,'Base Atk Speed'!1:1,0))</f>
        <v>32.72</v>
      </c>
      <c r="M5" s="17">
        <f t="array" ref="M5">INDEX('Base Atk Speed'!$A:$P,MATCH($A$4,'Base Atk Speed'!$A:$A,0),MATCH(M4,'Base Atk Speed'!1:1,0))</f>
        <v>36.44</v>
      </c>
      <c r="N5" s="17">
        <f t="array" ref="N5">INDEX('Base Atk Speed'!$A:$P,MATCH($A$4,'Base Atk Speed'!$A:$A,0),MATCH(N4,'Base Atk Speed'!1:1,0))</f>
        <v>40.53</v>
      </c>
      <c r="O5" s="17">
        <f t="array" ref="O5">INDEX('Base Atk Speed'!$A:$P,MATCH($A$4,'Base Atk Speed'!$A:$A,0),MATCH(O4,'Base Atk Speed'!1:1,0))</f>
        <v>45.03</v>
      </c>
      <c r="P5" s="19">
        <f t="array" ref="P5">INDEX('Base Atk Speed'!$A:$P,MATCH($A$4,'Base Atk Speed'!$A:$A,0),MATCH(P4,'Base Atk Speed'!1:1,0))</f>
        <v>49.99</v>
      </c>
      <c r="Q5" s="5"/>
      <c r="R5" s="20" t="s">
        <v>122</v>
      </c>
      <c r="U5" s="5"/>
      <c r="V5" s="5"/>
    </row>
    <row r="6">
      <c r="A6" s="14" t="s">
        <v>124</v>
      </c>
      <c r="B6" s="24">
        <f>IF($G$9=TRUE,'Atk Speed Boosts'!$C$9,0)
+IF($G$10=TRUE,'Atk Speed Boosts'!$C$10,0)+$G$11
+IF(AND($A$4="Absol",$I$9="Feint",$K$9=TRUE,B4&lt;5),'Atk Speed Boosts'!$C$11,0)
+IF(AND($A$4="Absol",$I$10="Night Slash",$K$10=TRUE,B4&gt;4),'Atk Speed Boosts'!$C$12,0)
+IF(AND($A$4="Absol",$I$11="Sucker Punch+",$K$11=TRUE,B4&gt;12),'Atk Speed Boosts'!$C$13,0)
+IF(AND($A$4="Aegislash",$I$9="Sword Stance",$K$9=TRUE,B4&gt;6),'Atk Speed Boosts'!$C$14,0)
+IF(AND($A$4="Aegislash",$I$10="Shield Stance",$K$10=TRUE,B4&gt;6),'Atk Speed Boosts'!$C$15,0)
+IF(AND($A$4="Aegislash",$I$11="Stance Change",$K$11=TRUE,B4&gt;6),'Atk Speed Boosts'!$C$16,0)
+IF(AND($A$4="Azumarill",$I$9="Aqua Tail",$K$9=TRUE,B4&gt;3),'Atk Speed Boosts'!$C$20,0)
+IF(AND($A$4="Blaziken",$I$9="Punch Style",$K$9=TRUE,OR(B4&lt;5,B4&gt;7)),'Atk Speed Boosts'!$C$22,0)
+IF(AND($A$4="Buzzwole",$I$9="Beast Boost Assist",$K$9=TRUE),'Atk Speed Boosts'!$C$24,0)
+IF(AND($A$4="Buzzwole",$I$10="Beast Boost KO",$K$10=TRUE),'Atk Speed Boosts'!$C$25,0)
+IF(AND($A$4="Buzzwole",$I$11="Lunge",$K$11=TRUE,B4&gt;6),'Atk Speed Boosts'!$C$26,0)
+IF(AND($A$4="Ceruledge",$I$9="Take Down",$K$9=TRUE,B4&lt;7),'Atk Speed Boosts'!$C$27,0)
+IF(AND($A$4="Ceruledge",$I$10="Flame Charge",$K$10=TRUE,B4&gt;6),'Atk Speed Boosts'!$C$28,0)
+IF(AND($A$4="Cinderace",$I$9="Blaze",$K$9=TRUE),'Atk Speed Boosts'!$C$33,0)
+IF(AND($A$4="Cinderace",$I$10="Blaze Kick+",$K$10=TRUE,B4&gt;10),'Atk Speed Boosts'!$C$34,0)
+IF(AND($A$4="Cinderace",$I$11="Unite Buff",$K$11=TRUE,B4&gt;8),'Atk Speed Boosts'!$C$35,0)
+IF(AND($A$4="Decidueye",$I$9="Auto Attack",$K$9=TRUE),'Atk Speed Boosts'!$C$41*$L$9,0)
+IF(AND($A$4="Decidueye",$I$10="Leafage",$K$10=TRUE,B4&lt;7),'Atk Speed Boosts'!$C$42,0)
+IF(AND($A$4="Decidueye",$I$11="Razor Leaf",$K$11=TRUE,B4&gt;6),'Atk Speed Boosts'!$C$43+'Atk Speed Boosts'!$D$43*(B4-1),0)
+IF(AND($A$4="Dragapult",$I$9="Quick Attack",$K$9=TRUE,B4&lt;5),'Atk Speed Boosts'!$C$47,0)
+IF(AND($A$4="Dragapult",$I$10="Dragon Dance",$K$10=TRUE,B4&gt;4),'Atk Speed Boosts'!$C$48,0)
+IF(AND($A$4="Dragapult",$I$11="Phantom Force",$K$11=TRUE,B4&gt;4),'Atk Speed Boosts'!$C$49,0)
+IF(AND($A$4="Dragonite",$I$9="Dragon Dance",$K$9=TRUE,B4&gt;4),'Atk Speed Boosts'!$C$50,0)
+IF(AND($A$4="Dragonite",$I$10="Outrage",$K$10=TRUE,B4&gt;7),'Atk Speed Boosts'!$C$51,0)
+IF(AND($A$4="Dragonite",$I$11="Unite Buff",$K$11=TRUE,B4&gt;8),'Atk Speed Boosts'!$C$52,0)
+IF(AND($A$4="Duraludon",$I$9="Flash Cannon",$K$9=TRUE,B4&gt;4),'Atk Speed Boosts'!$C$53-20*$L$9,0)
+IF(AND($A$4="Duraludon",$I$10="Unite Buff",$K$10=TRUE,B4&gt;8),'Atk Speed Boosts'!$C$54,0)
+IF(AND($A$4="Empoleon",$I$9="Aqua Jet",$K$9=TRUE,B4&gt;4),'Atk Speed Boosts'!$C$56,0)
+IF(AND($A$4="Falinks",$I$9="Bulk Up",$K$9=TRUE,B4&lt;6),'Atk Speed Boosts'!$C$58,0)
+IF(AND($A$4="Feraligatr",$I$9="Crunch",$K$9=TRUE,B4&lt;4),'Atk Speed Boosts'!$C$59,0)
+IF(AND($A$4="Feraligatr",$I$9="Unite Buff",$K$9=TRUE,B4&lt;8),'Atk Speed Boosts'!$C$60,0)
+IF(AND($A$4="Garchomp",$I$9="Boosted Attack",$K$9=TRUE),'Atk Speed Boosts'!$C$61+'Atk Speed Boosts'!$D$61*(B4-1),0)
+IF(AND($A$4="Garchomp",$I$10="Sand Attack",$K$10=TRUE,B4&lt;5),'Atk Speed Boosts'!$C$62,0)
+IF(AND($A$4="Glaceon",$I$9="Eevee Bond",$K$9=TRUE),'Atk Speed Boosts'!$C$65,0)
+IF(AND($A$4="Glaceon",$I$10="Ice Shard",$K$10=TRUE,B4&gt;5,B4&lt;12),'Atk Speed Boosts'!$C$66,0)
+IF(AND($A$4="Glaceon",$I$11="Ice Shard+",$K$11=TRUE,B4&gt;11),'Atk Speed Boosts'!$C$67,0)
+IF(AND($A$4="Glaceon",$I$12="Unite Buff",$K$12=TRUE,B4&gt;7),'Atk Speed Boosts'!$C$68,0)
+IF(AND($A$4="Greninja",$I$9="Unite Buff",$K$9=TRUE,B4&gt;8),'Atk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Buff",$K$9=TRUE,B4&gt;8),'Atk Speed Boosts'!$C$78,0)
+IF(AND($A$4="Machamp",$I$9="Bulk Up",$K$9=TRUE,B4&lt;5),'Atk Speed Boosts'!$C$85,0)
+IF(AND($A$4="Machamp",$I$10="Submission",$K$10=TRUE,B4&gt;4,B4&lt;11),'Atk Speed Boosts'!$C$86,0)
+IF(AND($A$4="Machamp",$I$11="Submission+",$K$11=TRUE,B4&gt;10),'Atk Speed Boosts'!$C$87,0)
+IF(AND($A$4="Machamp",$I$12="Unite Buff",$K$12=TRUE,B4&gt;8),'Atk Speed Boosts'!$C$88,0)
+IF(AND($A$4="Meowscarada",$I$9="Hone Claws",$K$9=TRUE,B4&lt;7),'Atk Speed Boosts'!$C$91,0)
+IF(AND($A$4="Meowscarada",$I$10="Trail Blaze",$K$10=TRUE,B4&gt;6),'Atk Speed Boosts'!$C$92,0)
+IF(AND($A$4="Mewtwo Y",$I$9="Pressure",$K$9=TRUE),'Atk Speed Boosts'!$C$97*$L$9,0)
+IF(AND($A$4="Mewtwo Y",$I$10="Mega Evolution",$K$10=TRUE,B4&gt;4),'Atk Speed Boosts'!$C$98,0)
+IF(AND($A$4="Ninetales",$I$9="Aurora Veil",$K$9=TRUE,B4&gt;5),'Atk Speed Boosts'!$C$103,0)
+IF(AND($A$4="Pawmot",$I$9="Fighter Mode",$K$9=TRUE,B4&gt;8),'Atk Speed Boosts'!$C$105*$L$9,0)
+IF(AND($A$4="Pawmot",$I$10="Unite Buff",$K$10=TRUE,B4&gt;8),'Atk Speed Boosts'!$C$105,0)
+IF(AND($A$4="Raichu",$I$9="Stored Power",$K$9=TRUE,B4&gt;4),'Atk Speed Boosts'!$C$110,0)
+IF(AND($A$4="Raichu",$I$10="Unite Buff",$K$10=TRUE,B4&gt;8),'Atk Speed Boosts'!$C$111,0)
+IF(AND($A$4="Tsareena",$I$9="Triple Axel",$K$9=TRUE,B4&gt;4),('Atk Speed Boosts'!$C$126+'Atk Speed Boosts'!$D$126*(B4-1))*$L$9,0)
+IF(AND($A$4="Zacian",$I$9="Metal Claw",$K$9=TRUE,B4&gt;4),'Atk Speed Boosts'!$C$135,0)
+IF(AND($A$4="Zeraora",$I$9="Agility",$K$9=TRUE,B4&lt;5),'Atk Speed Boosts'!$C$137,0)
+IF(AND($A$4="Zeraora",$I$10="Volt Switch",$K$10=TRUE,B4&gt;4,B4&lt;11),'Atk Speed Boosts'!$C$138,0)
+IF(AND($A$4="Zeraora",$I$11="Volt Switch+",$K$11=TRUE,B4&gt;10),'Atk Speed Boosts'!$C$139,0)
+IF(AND($A$4="Zeraora",$I$12="Unite Buff",$K$12=TRUE,B4&gt;8),'Atk Speed Boosts'!$C$140,0)</f>
        <v>0</v>
      </c>
      <c r="C6" s="24">
        <f>IF($G$9=TRUE,'Atk Speed Boosts'!$C$9,0)
+IF($G$10=TRUE,'Atk Speed Boosts'!$C$10,0)+$G$11
+IF(AND($A$4="Absol",$I$9="Feint",$K$9=TRUE,C4&lt;5),'Atk Speed Boosts'!$C$11,0)
+IF(AND($A$4="Absol",$I$10="Night Slash",$K$10=TRUE,C4&gt;4),'Atk Speed Boosts'!$C$12,0)
+IF(AND($A$4="Absol",$I$11="Sucker Punch+",$K$11=TRUE,C4&gt;12),'Atk Speed Boosts'!$C$13,0)
+IF(AND($A$4="Aegislash",$I$9="Sword Stance",$K$9=TRUE,C4&gt;6),'Atk Speed Boosts'!$C$14,0)
+IF(AND($A$4="Aegislash",$I$10="Shield Stance",$K$10=TRUE,C4&gt;6),'Atk Speed Boosts'!$C$15,0)
+IF(AND($A$4="Aegislash",$I$11="Stance Change",$K$11=TRUE,C4&gt;6),'Atk Speed Boosts'!$C$16,0)
+IF(AND($A$4="Azumarill",$I$9="Aqua Tail",$K$9=TRUE,C4&gt;3),'Atk Speed Boosts'!$C$20,0)
+IF(AND($A$4="Blaziken",$I$9="Punch Style",$K$9=TRUE,OR(C4&lt;5,C4&gt;7)),'Atk Speed Boosts'!$C$22,0)
+IF(AND($A$4="Buzzwole",$I$9="Beast Boost Assist",$K$9=TRUE),'Atk Speed Boosts'!$C$24,0)
+IF(AND($A$4="Buzzwole",$I$10="Beast Boost KO",$K$10=TRUE),'Atk Speed Boosts'!$C$25,0)
+IF(AND($A$4="Buzzwole",$I$11="Lunge",$K$11=TRUE,C4&gt;6),'Atk Speed Boosts'!$C$26,0)
+IF(AND($A$4="Ceruledge",$I$9="Take Down",$K$9=TRUE,C4&lt;7),'Atk Speed Boosts'!$C$27,0)
+IF(AND($A$4="Ceruledge",$I$10="Flame Charge",$K$10=TRUE,C4&gt;6),'Atk Speed Boosts'!$C$28,0)
+IF(AND($A$4="Cinderace",$I$9="Blaze",$K$9=TRUE),'Atk Speed Boosts'!$C$33,0)
+IF(AND($A$4="Cinderace",$I$10="Blaze Kick+",$K$10=TRUE,C4&gt;10),'Atk Speed Boosts'!$C$34,0)
+IF(AND($A$4="Cinderace",$I$11="Unite Buff",$K$11=TRUE,C4&gt;8),'Atk Speed Boosts'!$C$35,0)
+IF(AND($A$4="Decidueye",$I$9="Auto Attack",$K$9=TRUE),'Atk Speed Boosts'!$C$41*$L$9,0)
+IF(AND($A$4="Decidueye",$I$10="Leafage",$K$10=TRUE,C4&lt;7),'Atk Speed Boosts'!$C$42,0)
+IF(AND($A$4="Decidueye",$I$11="Razor Leaf",$K$11=TRUE,C4&gt;6),'Atk Speed Boosts'!$C$43+'Atk Speed Boosts'!$D$43*(C4-1),0)
+IF(AND($A$4="Dragapult",$I$9="Quick Attack",$K$9=TRUE,C4&lt;5),'Atk Speed Boosts'!$C$47,0)
+IF(AND($A$4="Dragapult",$I$10="Dragon Dance",$K$10=TRUE,C4&gt;4),'Atk Speed Boosts'!$C$48,0)
+IF(AND($A$4="Dragapult",$I$11="Phantom Force",$K$11=TRUE,C4&gt;4),'Atk Speed Boosts'!$C$49,0)
+IF(AND($A$4="Dragonite",$I$9="Dragon Dance",$K$9=TRUE,C4&gt;4),'Atk Speed Boosts'!$C$50,0)
+IF(AND($A$4="Dragonite",$I$10="Outrage",$K$10=TRUE,C4&gt;7),'Atk Speed Boosts'!$C$51,0)
+IF(AND($A$4="Dragonite",$I$11="Unite Buff",$K$11=TRUE,C4&gt;8),'Atk Speed Boosts'!$C$52,0)
+IF(AND($A$4="Duraludon",$I$9="Flash Cannon",$K$9=TRUE,C4&gt;4),'Atk Speed Boosts'!$C$53-20*$L$9,0)
+IF(AND($A$4="Duraludon",$I$10="Unite Buff",$K$10=TRUE,C4&gt;8),'Atk Speed Boosts'!$C$54,0)
+IF(AND($A$4="Empoleon",$I$9="Aqua Jet",$K$9=TRUE,C4&gt;4),'Atk Speed Boosts'!$C$56,0)
+IF(AND($A$4="Falinks",$I$9="Bulk Up",$K$9=TRUE,C4&lt;6),'Atk Speed Boosts'!$C$58,0)
+IF(AND($A$4="Feraligatr",$I$9="Crunch",$K$9=TRUE,C4&lt;4),'Atk Speed Boosts'!$C$59,0)
+IF(AND($A$4="Feraligatr",$I$9="Unite Buff",$K$9=TRUE,C4&lt;8),'Atk Speed Boosts'!$C$60,0)
+IF(AND($A$4="Garchomp",$I$9="Boosted Attack",$K$9=TRUE),'Atk Speed Boosts'!$C$61+'Atk Speed Boosts'!$D$61*(C4-1),0)
+IF(AND($A$4="Garchomp",$I$10="Sand Attack",$K$10=TRUE,C4&lt;5),'Atk Speed Boosts'!$C$62,0)
+IF(AND($A$4="Glaceon",$I$9="Eevee Bond",$K$9=TRUE),'Atk Speed Boosts'!$C$65,0)
+IF(AND($A$4="Glaceon",$I$10="Ice Shard",$K$10=TRUE,C4&gt;5,C4&lt;12),'Atk Speed Boosts'!$C$66,0)
+IF(AND($A$4="Glaceon",$I$11="Ice Shard+",$K$11=TRUE,C4&gt;11),'Atk Speed Boosts'!$C$67,0)
+IF(AND($A$4="Glaceon",$I$12="Unite Buff",$K$12=TRUE,C4&gt;7),'Atk Speed Boosts'!$C$68,0)
+IF(AND($A$4="Greninja",$I$9="Unite Buff",$K$9=TRUE,C4&gt;8),'Atk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Buff",$K$9=TRUE,C4&gt;8),'Atk Speed Boosts'!$C$78,0)
+IF(AND($A$4="Machamp",$I$9="Bulk Up",$K$9=TRUE,C4&lt;5),'Atk Speed Boosts'!$C$85,0)
+IF(AND($A$4="Machamp",$I$10="Submission",$K$10=TRUE,C4&gt;4,C4&lt;11),'Atk Speed Boosts'!$C$86,0)
+IF(AND($A$4="Machamp",$I$11="Submission+",$K$11=TRUE,C4&gt;10),'Atk Speed Boosts'!$C$87,0)
+IF(AND($A$4="Machamp",$I$12="Unite Buff",$K$12=TRUE,C4&gt;8),'Atk Speed Boosts'!$C$88,0)
+IF(AND($A$4="Meowscarada",$I$9="Hone Claws",$K$9=TRUE,C4&lt;7),'Atk Speed Boosts'!$C$91,0)
+IF(AND($A$4="Meowscarada",$I$10="Trail Blaze",$K$10=TRUE,C4&gt;6),'Atk Speed Boosts'!$C$92,0)
+IF(AND($A$4="Mewtwo Y",$I$9="Pressure",$K$9=TRUE),'Atk Speed Boosts'!$C$97*$L$9,0)
+IF(AND($A$4="Mewtwo Y",$I$10="Mega Evolution",$K$10=TRUE,C4&gt;4),'Atk Speed Boosts'!$C$98,0)
+IF(AND($A$4="Ninetales",$I$9="Aurora Veil",$K$9=TRUE,C4&gt;5),'Atk Speed Boosts'!$C$103,0)
+IF(AND($A$4="Pawmot",$I$9="Fighter Mode",$K$9=TRUE,C4&gt;8),'Atk Speed Boosts'!$C$105*$L$9,0)
+IF(AND($A$4="Pawmot",$I$10="Unite Buff",$K$10=TRUE,C4&gt;8),'Atk Speed Boosts'!$C$105,0)
+IF(AND($A$4="Raichu",$I$9="Stored Power",$K$9=TRUE,C4&gt;4),'Atk Speed Boosts'!$C$110,0)
+IF(AND($A$4="Raichu",$I$10="Unite Buff",$K$10=TRUE,C4&gt;8),'Atk Speed Boosts'!$C$111,0)
+IF(AND($A$4="Tsareena",$I$9="Triple Axel",$K$9=TRUE,C4&gt;4),('Atk Speed Boosts'!$C$126+'Atk Speed Boosts'!$D$126*(C4-1))*$L$9,0)
+IF(AND($A$4="Zacian",$I$9="Metal Claw",$K$9=TRUE,C4&gt;4),'Atk Speed Boosts'!$C$135,0)
+IF(AND($A$4="Zeraora",$I$9="Agility",$K$9=TRUE,C4&lt;5),'Atk Speed Boosts'!$C$137,0)
+IF(AND($A$4="Zeraora",$I$10="Volt Switch",$K$10=TRUE,C4&gt;4,C4&lt;11),'Atk Speed Boosts'!$C$138,0)
+IF(AND($A$4="Zeraora",$I$11="Volt Switch+",$K$11=TRUE,C4&gt;10),'Atk Speed Boosts'!$C$139,0)
+IF(AND($A$4="Zeraora",$I$12="Unite Buff",$K$12=TRUE,C4&gt;8),'Atk Speed Boosts'!$C$140,0)</f>
        <v>0</v>
      </c>
      <c r="D6" s="24">
        <f>IF($G$9=TRUE,'Atk Speed Boosts'!$C$9,0)
+IF($G$10=TRUE,'Atk Speed Boosts'!$C$10,0)+$G$11
+IF(AND($A$4="Absol",$I$9="Feint",$K$9=TRUE,D4&lt;5),'Atk Speed Boosts'!$C$11,0)
+IF(AND($A$4="Absol",$I$10="Night Slash",$K$10=TRUE,D4&gt;4),'Atk Speed Boosts'!$C$12,0)
+IF(AND($A$4="Absol",$I$11="Sucker Punch+",$K$11=TRUE,D4&gt;12),'Atk Speed Boosts'!$C$13,0)
+IF(AND($A$4="Aegislash",$I$9="Sword Stance",$K$9=TRUE,D4&gt;6),'Atk Speed Boosts'!$C$14,0)
+IF(AND($A$4="Aegislash",$I$10="Shield Stance",$K$10=TRUE,D4&gt;6),'Atk Speed Boosts'!$C$15,0)
+IF(AND($A$4="Aegislash",$I$11="Stance Change",$K$11=TRUE,D4&gt;6),'Atk Speed Boosts'!$C$16,0)
+IF(AND($A$4="Azumarill",$I$9="Aqua Tail",$K$9=TRUE,D4&gt;3),'Atk Speed Boosts'!$C$20,0)
+IF(AND($A$4="Blaziken",$I$9="Punch Style",$K$9=TRUE,OR(D4&lt;5,D4&gt;7)),'Atk Speed Boosts'!$C$22,0)
+IF(AND($A$4="Buzzwole",$I$9="Beast Boost Assist",$K$9=TRUE),'Atk Speed Boosts'!$C$24,0)
+IF(AND($A$4="Buzzwole",$I$10="Beast Boost KO",$K$10=TRUE),'Atk Speed Boosts'!$C$25,0)
+IF(AND($A$4="Buzzwole",$I$11="Lunge",$K$11=TRUE,D4&gt;6),'Atk Speed Boosts'!$C$26,0)
+IF(AND($A$4="Ceruledge",$I$9="Take Down",$K$9=TRUE,D4&lt;7),'Atk Speed Boosts'!$C$27,0)
+IF(AND($A$4="Ceruledge",$I$10="Flame Charge",$K$10=TRUE,D4&gt;6),'Atk Speed Boosts'!$C$28,0)
+IF(AND($A$4="Cinderace",$I$9="Blaze",$K$9=TRUE),'Atk Speed Boosts'!$C$33,0)
+IF(AND($A$4="Cinderace",$I$10="Blaze Kick+",$K$10=TRUE,D4&gt;10),'Atk Speed Boosts'!$C$34,0)
+IF(AND($A$4="Cinderace",$I$11="Unite Buff",$K$11=TRUE,D4&gt;8),'Atk Speed Boosts'!$C$35,0)
+IF(AND($A$4="Decidueye",$I$9="Auto Attack",$K$9=TRUE),'Atk Speed Boosts'!$C$41*$L$9,0)
+IF(AND($A$4="Decidueye",$I$10="Leafage",$K$10=TRUE,D4&lt;7),'Atk Speed Boosts'!$C$42,0)
+IF(AND($A$4="Decidueye",$I$11="Razor Leaf",$K$11=TRUE,D4&gt;6),'Atk Speed Boosts'!$C$43+'Atk Speed Boosts'!$D$43*(D4-1),0)
+IF(AND($A$4="Dragapult",$I$9="Quick Attack",$K$9=TRUE,D4&lt;5),'Atk Speed Boosts'!$C$47,0)
+IF(AND($A$4="Dragapult",$I$10="Dragon Dance",$K$10=TRUE,D4&gt;4),'Atk Speed Boosts'!$C$48,0)
+IF(AND($A$4="Dragapult",$I$11="Phantom Force",$K$11=TRUE,D4&gt;4),'Atk Speed Boosts'!$C$49,0)
+IF(AND($A$4="Dragonite",$I$9="Dragon Dance",$K$9=TRUE,D4&gt;4),'Atk Speed Boosts'!$C$50,0)
+IF(AND($A$4="Dragonite",$I$10="Outrage",$K$10=TRUE,D4&gt;7),'Atk Speed Boosts'!$C$51,0)
+IF(AND($A$4="Dragonite",$I$11="Unite Buff",$K$11=TRUE,D4&gt;8),'Atk Speed Boosts'!$C$52,0)
+IF(AND($A$4="Duraludon",$I$9="Flash Cannon",$K$9=TRUE,D4&gt;4),'Atk Speed Boosts'!$C$53-20*$L$9,0)
+IF(AND($A$4="Duraludon",$I$10="Unite Buff",$K$10=TRUE,D4&gt;8),'Atk Speed Boosts'!$C$54,0)
+IF(AND($A$4="Empoleon",$I$9="Aqua Jet",$K$9=TRUE,D4&gt;4),'Atk Speed Boosts'!$C$56,0)
+IF(AND($A$4="Falinks",$I$9="Bulk Up",$K$9=TRUE,D4&lt;6),'Atk Speed Boosts'!$C$58,0)
+IF(AND($A$4="Feraligatr",$I$9="Crunch",$K$9=TRUE,D4&lt;4),'Atk Speed Boosts'!$C$59,0)
+IF(AND($A$4="Feraligatr",$I$9="Unite Buff",$K$9=TRUE,D4&lt;8),'Atk Speed Boosts'!$C$60,0)
+IF(AND($A$4="Garchomp",$I$9="Boosted Attack",$K$9=TRUE),'Atk Speed Boosts'!$C$61+'Atk Speed Boosts'!$D$61*(D4-1),0)
+IF(AND($A$4="Garchomp",$I$10="Sand Attack",$K$10=TRUE,D4&lt;5),'Atk Speed Boosts'!$C$62,0)
+IF(AND($A$4="Glaceon",$I$9="Eevee Bond",$K$9=TRUE),'Atk Speed Boosts'!$C$65,0)
+IF(AND($A$4="Glaceon",$I$10="Ice Shard",$K$10=TRUE,D4&gt;5,D4&lt;12),'Atk Speed Boosts'!$C$66,0)
+IF(AND($A$4="Glaceon",$I$11="Ice Shard+",$K$11=TRUE,D4&gt;11),'Atk Speed Boosts'!$C$67,0)
+IF(AND($A$4="Glaceon",$I$12="Unite Buff",$K$12=TRUE,D4&gt;7),'Atk Speed Boosts'!$C$68,0)
+IF(AND($A$4="Greninja",$I$9="Unite Buff",$K$9=TRUE,D4&gt;8),'Atk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Buff",$K$9=TRUE,D4&gt;8),'Atk Speed Boosts'!$C$78,0)
+IF(AND($A$4="Machamp",$I$9="Bulk Up",$K$9=TRUE,D4&lt;5),'Atk Speed Boosts'!$C$85,0)
+IF(AND($A$4="Machamp",$I$10="Submission",$K$10=TRUE,D4&gt;4,D4&lt;11),'Atk Speed Boosts'!$C$86,0)
+IF(AND($A$4="Machamp",$I$11="Submission+",$K$11=TRUE,D4&gt;10),'Atk Speed Boosts'!$C$87,0)
+IF(AND($A$4="Machamp",$I$12="Unite Buff",$K$12=TRUE,D4&gt;8),'Atk Speed Boosts'!$C$88,0)
+IF(AND($A$4="Meowscarada",$I$9="Hone Claws",$K$9=TRUE,D4&lt;7),'Atk Speed Boosts'!$C$91,0)
+IF(AND($A$4="Meowscarada",$I$10="Trail Blaze",$K$10=TRUE,D4&gt;6),'Atk Speed Boosts'!$C$92,0)
+IF(AND($A$4="Mewtwo Y",$I$9="Pressure",$K$9=TRUE),'Atk Speed Boosts'!$C$97*$L$9,0)
+IF(AND($A$4="Mewtwo Y",$I$10="Mega Evolution",$K$10=TRUE,D4&gt;4),'Atk Speed Boosts'!$C$98,0)
+IF(AND($A$4="Ninetales",$I$9="Aurora Veil",$K$9=TRUE,D4&gt;5),'Atk Speed Boosts'!$C$103,0)
+IF(AND($A$4="Pawmot",$I$9="Fighter Mode",$K$9=TRUE,D4&gt;8),'Atk Speed Boosts'!$C$105*$L$9,0)
+IF(AND($A$4="Pawmot",$I$10="Unite Buff",$K$10=TRUE,D4&gt;8),'Atk Speed Boosts'!$C$105,0)
+IF(AND($A$4="Raichu",$I$9="Stored Power",$K$9=TRUE,D4&gt;4),'Atk Speed Boosts'!$C$110,0)
+IF(AND($A$4="Raichu",$I$10="Unite Buff",$K$10=TRUE,D4&gt;8),'Atk Speed Boosts'!$C$111,0)
+IF(AND($A$4="Tsareena",$I$9="Triple Axel",$K$9=TRUE,D4&gt;4),('Atk Speed Boosts'!$C$126+'Atk Speed Boosts'!$D$126*(D4-1))*$L$9,0)
+IF(AND($A$4="Zacian",$I$9="Metal Claw",$K$9=TRUE,D4&gt;4),'Atk Speed Boosts'!$C$135,0)
+IF(AND($A$4="Zeraora",$I$9="Agility",$K$9=TRUE,D4&lt;5),'Atk Speed Boosts'!$C$137,0)
+IF(AND($A$4="Zeraora",$I$10="Volt Switch",$K$10=TRUE,D4&gt;4,D4&lt;11),'Atk Speed Boosts'!$C$138,0)
+IF(AND($A$4="Zeraora",$I$11="Volt Switch+",$K$11=TRUE,D4&gt;10),'Atk Speed Boosts'!$C$139,0)
+IF(AND($A$4="Zeraora",$I$12="Unite Buff",$K$12=TRUE,D4&gt;8),'Atk Speed Boosts'!$C$140,0)</f>
        <v>0</v>
      </c>
      <c r="E6" s="24">
        <f>IF($G$9=TRUE,'Atk Speed Boosts'!$C$9,0)
+IF($G$10=TRUE,'Atk Speed Boosts'!$C$10,0)+$G$11
+IF(AND($A$4="Absol",$I$9="Feint",$K$9=TRUE,E4&lt;5),'Atk Speed Boosts'!$C$11,0)
+IF(AND($A$4="Absol",$I$10="Night Slash",$K$10=TRUE,E4&gt;4),'Atk Speed Boosts'!$C$12,0)
+IF(AND($A$4="Absol",$I$11="Sucker Punch+",$K$11=TRUE,E4&gt;12),'Atk Speed Boosts'!$C$13,0)
+IF(AND($A$4="Aegislash",$I$9="Sword Stance",$K$9=TRUE,E4&gt;6),'Atk Speed Boosts'!$C$14,0)
+IF(AND($A$4="Aegislash",$I$10="Shield Stance",$K$10=TRUE,E4&gt;6),'Atk Speed Boosts'!$C$15,0)
+IF(AND($A$4="Aegislash",$I$11="Stance Change",$K$11=TRUE,E4&gt;6),'Atk Speed Boosts'!$C$16,0)
+IF(AND($A$4="Azumarill",$I$9="Aqua Tail",$K$9=TRUE,E4&gt;3),'Atk Speed Boosts'!$C$20,0)
+IF(AND($A$4="Blaziken",$I$9="Punch Style",$K$9=TRUE,OR(E4&lt;5,E4&gt;7)),'Atk Speed Boosts'!$C$22,0)
+IF(AND($A$4="Buzzwole",$I$9="Beast Boost Assist",$K$9=TRUE),'Atk Speed Boosts'!$C$24,0)
+IF(AND($A$4="Buzzwole",$I$10="Beast Boost KO",$K$10=TRUE),'Atk Speed Boosts'!$C$25,0)
+IF(AND($A$4="Buzzwole",$I$11="Lunge",$K$11=TRUE,E4&gt;6),'Atk Speed Boosts'!$C$26,0)
+IF(AND($A$4="Ceruledge",$I$9="Take Down",$K$9=TRUE,E4&lt;7),'Atk Speed Boosts'!$C$27,0)
+IF(AND($A$4="Ceruledge",$I$10="Flame Charge",$K$10=TRUE,E4&gt;6),'Atk Speed Boosts'!$C$28,0)
+IF(AND($A$4="Cinderace",$I$9="Blaze",$K$9=TRUE),'Atk Speed Boosts'!$C$33,0)
+IF(AND($A$4="Cinderace",$I$10="Blaze Kick+",$K$10=TRUE,E4&gt;10),'Atk Speed Boosts'!$C$34,0)
+IF(AND($A$4="Cinderace",$I$11="Unite Buff",$K$11=TRUE,E4&gt;8),'Atk Speed Boosts'!$C$35,0)
+IF(AND($A$4="Decidueye",$I$9="Auto Attack",$K$9=TRUE),'Atk Speed Boosts'!$C$41*$L$9,0)
+IF(AND($A$4="Decidueye",$I$10="Leafage",$K$10=TRUE,E4&lt;7),'Atk Speed Boosts'!$C$42,0)
+IF(AND($A$4="Decidueye",$I$11="Razor Leaf",$K$11=TRUE,E4&gt;6),'Atk Speed Boosts'!$C$43+'Atk Speed Boosts'!$D$43*(E4-1),0)
+IF(AND($A$4="Dragapult",$I$9="Quick Attack",$K$9=TRUE,E4&lt;5),'Atk Speed Boosts'!$C$47,0)
+IF(AND($A$4="Dragapult",$I$10="Dragon Dance",$K$10=TRUE,E4&gt;4),'Atk Speed Boosts'!$C$48,0)
+IF(AND($A$4="Dragapult",$I$11="Phantom Force",$K$11=TRUE,E4&gt;4),'Atk Speed Boosts'!$C$49,0)
+IF(AND($A$4="Dragonite",$I$9="Dragon Dance",$K$9=TRUE,E4&gt;4),'Atk Speed Boosts'!$C$50,0)
+IF(AND($A$4="Dragonite",$I$10="Outrage",$K$10=TRUE,E4&gt;7),'Atk Speed Boosts'!$C$51,0)
+IF(AND($A$4="Dragonite",$I$11="Unite Buff",$K$11=TRUE,E4&gt;8),'Atk Speed Boosts'!$C$52,0)
+IF(AND($A$4="Duraludon",$I$9="Flash Cannon",$K$9=TRUE,E4&gt;4),'Atk Speed Boosts'!$C$53-20*$L$9,0)
+IF(AND($A$4="Duraludon",$I$10="Unite Buff",$K$10=TRUE,E4&gt;8),'Atk Speed Boosts'!$C$54,0)
+IF(AND($A$4="Empoleon",$I$9="Aqua Jet",$K$9=TRUE,E4&gt;4),'Atk Speed Boosts'!$C$56,0)
+IF(AND($A$4="Falinks",$I$9="Bulk Up",$K$9=TRUE,E4&lt;6),'Atk Speed Boosts'!$C$58,0)
+IF(AND($A$4="Feraligatr",$I$9="Crunch",$K$9=TRUE,E4&lt;4),'Atk Speed Boosts'!$C$59,0)
+IF(AND($A$4="Feraligatr",$I$9="Unite Buff",$K$9=TRUE,E4&lt;8),'Atk Speed Boosts'!$C$60,0)
+IF(AND($A$4="Garchomp",$I$9="Boosted Attack",$K$9=TRUE),'Atk Speed Boosts'!$C$61+'Atk Speed Boosts'!$D$61*(E4-1),0)
+IF(AND($A$4="Garchomp",$I$10="Sand Attack",$K$10=TRUE,E4&lt;5),'Atk Speed Boosts'!$C$62,0)
+IF(AND($A$4="Glaceon",$I$9="Eevee Bond",$K$9=TRUE),'Atk Speed Boosts'!$C$65,0)
+IF(AND($A$4="Glaceon",$I$10="Ice Shard",$K$10=TRUE,E4&gt;5,E4&lt;12),'Atk Speed Boosts'!$C$66,0)
+IF(AND($A$4="Glaceon",$I$11="Ice Shard+",$K$11=TRUE,E4&gt;11),'Atk Speed Boosts'!$C$67,0)
+IF(AND($A$4="Glaceon",$I$12="Unite Buff",$K$12=TRUE,E4&gt;7),'Atk Speed Boosts'!$C$68,0)
+IF(AND($A$4="Greninja",$I$9="Unite Buff",$K$9=TRUE,E4&gt;8),'Atk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Buff",$K$9=TRUE,E4&gt;8),'Atk Speed Boosts'!$C$78,0)
+IF(AND($A$4="Machamp",$I$9="Bulk Up",$K$9=TRUE,E4&lt;5),'Atk Speed Boosts'!$C$85,0)
+IF(AND($A$4="Machamp",$I$10="Submission",$K$10=TRUE,E4&gt;4,E4&lt;11),'Atk Speed Boosts'!$C$86,0)
+IF(AND($A$4="Machamp",$I$11="Submission+",$K$11=TRUE,E4&gt;10),'Atk Speed Boosts'!$C$87,0)
+IF(AND($A$4="Machamp",$I$12="Unite Buff",$K$12=TRUE,E4&gt;8),'Atk Speed Boosts'!$C$88,0)
+IF(AND($A$4="Meowscarada",$I$9="Hone Claws",$K$9=TRUE,E4&lt;7),'Atk Speed Boosts'!$C$91,0)
+IF(AND($A$4="Meowscarada",$I$10="Trail Blaze",$K$10=TRUE,E4&gt;6),'Atk Speed Boosts'!$C$92,0)
+IF(AND($A$4="Mewtwo Y",$I$9="Pressure",$K$9=TRUE),'Atk Speed Boosts'!$C$97*$L$9,0)
+IF(AND($A$4="Mewtwo Y",$I$10="Mega Evolution",$K$10=TRUE,E4&gt;4),'Atk Speed Boosts'!$C$98,0)
+IF(AND($A$4="Ninetales",$I$9="Aurora Veil",$K$9=TRUE,E4&gt;5),'Atk Speed Boosts'!$C$103,0)
+IF(AND($A$4="Pawmot",$I$9="Fighter Mode",$K$9=TRUE,E4&gt;8),'Atk Speed Boosts'!$C$105*$L$9,0)
+IF(AND($A$4="Pawmot",$I$10="Unite Buff",$K$10=TRUE,E4&gt;8),'Atk Speed Boosts'!$C$105,0)
+IF(AND($A$4="Raichu",$I$9="Stored Power",$K$9=TRUE,E4&gt;4),'Atk Speed Boosts'!$C$110,0)
+IF(AND($A$4="Raichu",$I$10="Unite Buff",$K$10=TRUE,E4&gt;8),'Atk Speed Boosts'!$C$111,0)
+IF(AND($A$4="Tsareena",$I$9="Triple Axel",$K$9=TRUE,E4&gt;4),('Atk Speed Boosts'!$C$126+'Atk Speed Boosts'!$D$126*(E4-1))*$L$9,0)
+IF(AND($A$4="Zacian",$I$9="Metal Claw",$K$9=TRUE,E4&gt;4),'Atk Speed Boosts'!$C$135,0)
+IF(AND($A$4="Zeraora",$I$9="Agility",$K$9=TRUE,E4&lt;5),'Atk Speed Boosts'!$C$137,0)
+IF(AND($A$4="Zeraora",$I$10="Volt Switch",$K$10=TRUE,E4&gt;4,E4&lt;11),'Atk Speed Boosts'!$C$138,0)
+IF(AND($A$4="Zeraora",$I$11="Volt Switch+",$K$11=TRUE,E4&gt;10),'Atk Speed Boosts'!$C$139,0)
+IF(AND($A$4="Zeraora",$I$12="Unite Buff",$K$12=TRUE,E4&gt;8),'Atk Speed Boosts'!$C$140,0)</f>
        <v>0</v>
      </c>
      <c r="F6" s="25">
        <f>IF($G$9=TRUE,'Atk Speed Boosts'!$C$9,0)
+IF($G$10=TRUE,'Atk Speed Boosts'!$C$10,0)+$G$11
+IF(AND($A$4="Absol",$I$9="Feint",$K$9=TRUE,F4&lt;5),'Atk Speed Boosts'!$C$11,0)
+IF(AND($A$4="Absol",$I$10="Night Slash",$K$10=TRUE,F4&gt;4),'Atk Speed Boosts'!$C$12,0)
+IF(AND($A$4="Absol",$I$11="Sucker Punch+",$K$11=TRUE,F4&gt;12),'Atk Speed Boosts'!$C$13,0)
+IF(AND($A$4="Aegislash",$I$9="Sword Stance",$K$9=TRUE,F4&gt;6),'Atk Speed Boosts'!$C$14,0)
+IF(AND($A$4="Aegislash",$I$10="Shield Stance",$K$10=TRUE,F4&gt;6),'Atk Speed Boosts'!$C$15,0)
+IF(AND($A$4="Aegislash",$I$11="Stance Change",$K$11=TRUE,F4&gt;6),'Atk Speed Boosts'!$C$16,0)
+IF(AND($A$4="Azumarill",$I$9="Aqua Tail",$K$9=TRUE,F4&gt;3),'Atk Speed Boosts'!$C$20,0)
+IF(AND($A$4="Blaziken",$I$9="Punch Style",$K$9=TRUE,OR(F4&lt;5,F4&gt;7)),'Atk Speed Boosts'!$C$22,0)
+IF(AND($A$4="Buzzwole",$I$9="Beast Boost Assist",$K$9=TRUE),'Atk Speed Boosts'!$C$24,0)
+IF(AND($A$4="Buzzwole",$I$10="Beast Boost KO",$K$10=TRUE),'Atk Speed Boosts'!$C$25,0)
+IF(AND($A$4="Buzzwole",$I$11="Lunge",$K$11=TRUE,F4&gt;6),'Atk Speed Boosts'!$C$26,0)
+IF(AND($A$4="Ceruledge",$I$9="Take Down",$K$9=TRUE,F4&lt;7),'Atk Speed Boosts'!$C$27,0)
+IF(AND($A$4="Ceruledge",$I$10="Flame Charge",$K$10=TRUE,F4&gt;6),'Atk Speed Boosts'!$C$28,0)
+IF(AND($A$4="Cinderace",$I$9="Blaze",$K$9=TRUE),'Atk Speed Boosts'!$C$33,0)
+IF(AND($A$4="Cinderace",$I$10="Blaze Kick+",$K$10=TRUE,F4&gt;10),'Atk Speed Boosts'!$C$34,0)
+IF(AND($A$4="Cinderace",$I$11="Unite Buff",$K$11=TRUE,F4&gt;8),'Atk Speed Boosts'!$C$35,0)
+IF(AND($A$4="Decidueye",$I$9="Auto Attack",$K$9=TRUE),'Atk Speed Boosts'!$C$41*$L$9,0)
+IF(AND($A$4="Decidueye",$I$10="Leafage",$K$10=TRUE,F4&lt;7),'Atk Speed Boosts'!$C$42,0)
+IF(AND($A$4="Decidueye",$I$11="Razor Leaf",$K$11=TRUE,F4&gt;6),'Atk Speed Boosts'!$C$43+'Atk Speed Boosts'!$D$43*(F4-1),0)
+IF(AND($A$4="Dragapult",$I$9="Quick Attack",$K$9=TRUE,F4&lt;5),'Atk Speed Boosts'!$C$47,0)
+IF(AND($A$4="Dragapult",$I$10="Dragon Dance",$K$10=TRUE,F4&gt;4),'Atk Speed Boosts'!$C$48,0)
+IF(AND($A$4="Dragapult",$I$11="Phantom Force",$K$11=TRUE,F4&gt;4),'Atk Speed Boosts'!$C$49,0)
+IF(AND($A$4="Dragonite",$I$9="Dragon Dance",$K$9=TRUE,F4&gt;4),'Atk Speed Boosts'!$C$50,0)
+IF(AND($A$4="Dragonite",$I$10="Outrage",$K$10=TRUE,F4&gt;7),'Atk Speed Boosts'!$C$51,0)
+IF(AND($A$4="Dragonite",$I$11="Unite Buff",$K$11=TRUE,F4&gt;8),'Atk Speed Boosts'!$C$52,0)
+IF(AND($A$4="Duraludon",$I$9="Flash Cannon",$K$9=TRUE,F4&gt;4),'Atk Speed Boosts'!$C$53-20*$L$9,0)
+IF(AND($A$4="Duraludon",$I$10="Unite Buff",$K$10=TRUE,F4&gt;8),'Atk Speed Boosts'!$C$54,0)
+IF(AND($A$4="Empoleon",$I$9="Aqua Jet",$K$9=TRUE,F4&gt;4),'Atk Speed Boosts'!$C$56,0)
+IF(AND($A$4="Falinks",$I$9="Bulk Up",$K$9=TRUE,F4&lt;6),'Atk Speed Boosts'!$C$58,0)
+IF(AND($A$4="Feraligatr",$I$9="Crunch",$K$9=TRUE,F4&lt;4),'Atk Speed Boosts'!$C$59,0)
+IF(AND($A$4="Feraligatr",$I$9="Unite Buff",$K$9=TRUE,F4&lt;8),'Atk Speed Boosts'!$C$60,0)
+IF(AND($A$4="Garchomp",$I$9="Boosted Attack",$K$9=TRUE),'Atk Speed Boosts'!$C$61+'Atk Speed Boosts'!$D$61*(F4-1),0)
+IF(AND($A$4="Garchomp",$I$10="Sand Attack",$K$10=TRUE,F4&lt;5),'Atk Speed Boosts'!$C$62,0)
+IF(AND($A$4="Glaceon",$I$9="Eevee Bond",$K$9=TRUE),'Atk Speed Boosts'!$C$65,0)
+IF(AND($A$4="Glaceon",$I$10="Ice Shard",$K$10=TRUE,F4&gt;5,F4&lt;12),'Atk Speed Boosts'!$C$66,0)
+IF(AND($A$4="Glaceon",$I$11="Ice Shard+",$K$11=TRUE,F4&gt;11),'Atk Speed Boosts'!$C$67,0)
+IF(AND($A$4="Glaceon",$I$12="Unite Buff",$K$12=TRUE,F4&gt;7),'Atk Speed Boosts'!$C$68,0)
+IF(AND($A$4="Greninja",$I$9="Unite Buff",$K$9=TRUE,F4&gt;8),'Atk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Buff",$K$9=TRUE,F4&gt;8),'Atk Speed Boosts'!$C$78,0)
+IF(AND($A$4="Machamp",$I$9="Bulk Up",$K$9=TRUE,F4&lt;5),'Atk Speed Boosts'!$C$85,0)
+IF(AND($A$4="Machamp",$I$10="Submission",$K$10=TRUE,F4&gt;4,F4&lt;11),'Atk Speed Boosts'!$C$86,0)
+IF(AND($A$4="Machamp",$I$11="Submission+",$K$11=TRUE,F4&gt;10),'Atk Speed Boosts'!$C$87,0)
+IF(AND($A$4="Machamp",$I$12="Unite Buff",$K$12=TRUE,F4&gt;8),'Atk Speed Boosts'!$C$88,0)
+IF(AND($A$4="Meowscarada",$I$9="Hone Claws",$K$9=TRUE,F4&lt;7),'Atk Speed Boosts'!$C$91,0)
+IF(AND($A$4="Meowscarada",$I$10="Trail Blaze",$K$10=TRUE,F4&gt;6),'Atk Speed Boosts'!$C$92,0)
+IF(AND($A$4="Mewtwo Y",$I$9="Pressure",$K$9=TRUE),'Atk Speed Boosts'!$C$97*$L$9,0)
+IF(AND($A$4="Mewtwo Y",$I$10="Mega Evolution",$K$10=TRUE,F4&gt;4),'Atk Speed Boosts'!$C$98,0)
+IF(AND($A$4="Ninetales",$I$9="Aurora Veil",$K$9=TRUE,F4&gt;5),'Atk Speed Boosts'!$C$103,0)
+IF(AND($A$4="Pawmot",$I$9="Fighter Mode",$K$9=TRUE,F4&gt;8),'Atk Speed Boosts'!$C$105*$L$9,0)
+IF(AND($A$4="Pawmot",$I$10="Unite Buff",$K$10=TRUE,F4&gt;8),'Atk Speed Boosts'!$C$105,0)
+IF(AND($A$4="Raichu",$I$9="Stored Power",$K$9=TRUE,F4&gt;4),'Atk Speed Boosts'!$C$110,0)
+IF(AND($A$4="Raichu",$I$10="Unite Buff",$K$10=TRUE,F4&gt;8),'Atk Speed Boosts'!$C$111,0)
+IF(AND($A$4="Tsareena",$I$9="Triple Axel",$K$9=TRUE,F4&gt;4),('Atk Speed Boosts'!$C$126+'Atk Speed Boosts'!$D$126*(F4-1))*$L$9,0)
+IF(AND($A$4="Zacian",$I$9="Metal Claw",$K$9=TRUE,F4&gt;4),'Atk Speed Boosts'!$C$135,0)
+IF(AND($A$4="Zeraora",$I$9="Agility",$K$9=TRUE,F4&lt;5),'Atk Speed Boosts'!$C$137,0)
+IF(AND($A$4="Zeraora",$I$10="Volt Switch",$K$10=TRUE,F4&gt;4,F4&lt;11),'Atk Speed Boosts'!$C$138,0)
+IF(AND($A$4="Zeraora",$I$11="Volt Switch+",$K$11=TRUE,F4&gt;10),'Atk Speed Boosts'!$C$139,0)
+IF(AND($A$4="Zeraora",$I$12="Unite Buff",$K$12=TRUE,F4&gt;8),'Atk Speed Boosts'!$C$140,0)</f>
        <v>35</v>
      </c>
      <c r="G6" s="25">
        <f>IF($G$9=TRUE,'Atk Speed Boosts'!$C$9,0)
+IF($G$10=TRUE,'Atk Speed Boosts'!$C$10,0)+$G$11
+IF(AND($A$4="Absol",$I$9="Feint",$K$9=TRUE,G4&lt;5),'Atk Speed Boosts'!$C$11,0)
+IF(AND($A$4="Absol",$I$10="Night Slash",$K$10=TRUE,G4&gt;4),'Atk Speed Boosts'!$C$12,0)
+IF(AND($A$4="Absol",$I$11="Sucker Punch+",$K$11=TRUE,G4&gt;12),'Atk Speed Boosts'!$C$13,0)
+IF(AND($A$4="Aegislash",$I$9="Sword Stance",$K$9=TRUE,G4&gt;6),'Atk Speed Boosts'!$C$14,0)
+IF(AND($A$4="Aegislash",$I$10="Shield Stance",$K$10=TRUE,G4&gt;6),'Atk Speed Boosts'!$C$15,0)
+IF(AND($A$4="Aegislash",$I$11="Stance Change",$K$11=TRUE,G4&gt;6),'Atk Speed Boosts'!$C$16,0)
+IF(AND($A$4="Azumarill",$I$9="Aqua Tail",$K$9=TRUE,G4&gt;3),'Atk Speed Boosts'!$C$20,0)
+IF(AND($A$4="Blaziken",$I$9="Punch Style",$K$9=TRUE,OR(G4&lt;5,G4&gt;7)),'Atk Speed Boosts'!$C$22,0)
+IF(AND($A$4="Buzzwole",$I$9="Beast Boost Assist",$K$9=TRUE),'Atk Speed Boosts'!$C$24,0)
+IF(AND($A$4="Buzzwole",$I$10="Beast Boost KO",$K$10=TRUE),'Atk Speed Boosts'!$C$25,0)
+IF(AND($A$4="Buzzwole",$I$11="Lunge",$K$11=TRUE,G4&gt;6),'Atk Speed Boosts'!$C$26,0)
+IF(AND($A$4="Ceruledge",$I$9="Take Down",$K$9=TRUE,G4&lt;7),'Atk Speed Boosts'!$C$27,0)
+IF(AND($A$4="Ceruledge",$I$10="Flame Charge",$K$10=TRUE,G4&gt;6),'Atk Speed Boosts'!$C$28,0)
+IF(AND($A$4="Cinderace",$I$9="Blaze",$K$9=TRUE),'Atk Speed Boosts'!$C$33,0)
+IF(AND($A$4="Cinderace",$I$10="Blaze Kick+",$K$10=TRUE,G4&gt;10),'Atk Speed Boosts'!$C$34,0)
+IF(AND($A$4="Cinderace",$I$11="Unite Buff",$K$11=TRUE,G4&gt;8),'Atk Speed Boosts'!$C$35,0)
+IF(AND($A$4="Decidueye",$I$9="Auto Attack",$K$9=TRUE),'Atk Speed Boosts'!$C$41*$L$9,0)
+IF(AND($A$4="Decidueye",$I$10="Leafage",$K$10=TRUE,G4&lt;7),'Atk Speed Boosts'!$C$42,0)
+IF(AND($A$4="Decidueye",$I$11="Razor Leaf",$K$11=TRUE,G4&gt;6),'Atk Speed Boosts'!$C$43+'Atk Speed Boosts'!$D$43*(G4-1),0)
+IF(AND($A$4="Dragapult",$I$9="Quick Attack",$K$9=TRUE,G4&lt;5),'Atk Speed Boosts'!$C$47,0)
+IF(AND($A$4="Dragapult",$I$10="Dragon Dance",$K$10=TRUE,G4&gt;4),'Atk Speed Boosts'!$C$48,0)
+IF(AND($A$4="Dragapult",$I$11="Phantom Force",$K$11=TRUE,G4&gt;4),'Atk Speed Boosts'!$C$49,0)
+IF(AND($A$4="Dragonite",$I$9="Dragon Dance",$K$9=TRUE,G4&gt;4),'Atk Speed Boosts'!$C$50,0)
+IF(AND($A$4="Dragonite",$I$10="Outrage",$K$10=TRUE,G4&gt;7),'Atk Speed Boosts'!$C$51,0)
+IF(AND($A$4="Dragonite",$I$11="Unite Buff",$K$11=TRUE,G4&gt;8),'Atk Speed Boosts'!$C$52,0)
+IF(AND($A$4="Duraludon",$I$9="Flash Cannon",$K$9=TRUE,G4&gt;4),'Atk Speed Boosts'!$C$53-20*$L$9,0)
+IF(AND($A$4="Duraludon",$I$10="Unite Buff",$K$10=TRUE,G4&gt;8),'Atk Speed Boosts'!$C$54,0)
+IF(AND($A$4="Empoleon",$I$9="Aqua Jet",$K$9=TRUE,G4&gt;4),'Atk Speed Boosts'!$C$56,0)
+IF(AND($A$4="Falinks",$I$9="Bulk Up",$K$9=TRUE,G4&lt;6),'Atk Speed Boosts'!$C$58,0)
+IF(AND($A$4="Feraligatr",$I$9="Crunch",$K$9=TRUE,G4&lt;4),'Atk Speed Boosts'!$C$59,0)
+IF(AND($A$4="Feraligatr",$I$9="Unite Buff",$K$9=TRUE,G4&lt;8),'Atk Speed Boosts'!$C$60,0)
+IF(AND($A$4="Garchomp",$I$9="Boosted Attack",$K$9=TRUE),'Atk Speed Boosts'!$C$61+'Atk Speed Boosts'!$D$61*(G4-1),0)
+IF(AND($A$4="Garchomp",$I$10="Sand Attack",$K$10=TRUE,G4&lt;5),'Atk Speed Boosts'!$C$62,0)
+IF(AND($A$4="Glaceon",$I$9="Eevee Bond",$K$9=TRUE),'Atk Speed Boosts'!$C$65,0)
+IF(AND($A$4="Glaceon",$I$10="Ice Shard",$K$10=TRUE,G4&gt;5,G4&lt;12),'Atk Speed Boosts'!$C$66,0)
+IF(AND($A$4="Glaceon",$I$11="Ice Shard+",$K$11=TRUE,G4&gt;11),'Atk Speed Boosts'!$C$67,0)
+IF(AND($A$4="Glaceon",$I$12="Unite Buff",$K$12=TRUE,G4&gt;7),'Atk Speed Boosts'!$C$68,0)
+IF(AND($A$4="Greninja",$I$9="Unite Buff",$K$9=TRUE,G4&gt;8),'Atk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Buff",$K$9=TRUE,G4&gt;8),'Atk Speed Boosts'!$C$78,0)
+IF(AND($A$4="Machamp",$I$9="Bulk Up",$K$9=TRUE,G4&lt;5),'Atk Speed Boosts'!$C$85,0)
+IF(AND($A$4="Machamp",$I$10="Submission",$K$10=TRUE,G4&gt;4,G4&lt;11),'Atk Speed Boosts'!$C$86,0)
+IF(AND($A$4="Machamp",$I$11="Submission+",$K$11=TRUE,G4&gt;10),'Atk Speed Boosts'!$C$87,0)
+IF(AND($A$4="Machamp",$I$12="Unite Buff",$K$12=TRUE,G4&gt;8),'Atk Speed Boosts'!$C$88,0)
+IF(AND($A$4="Meowscarada",$I$9="Hone Claws",$K$9=TRUE,G4&lt;7),'Atk Speed Boosts'!$C$91,0)
+IF(AND($A$4="Meowscarada",$I$10="Trail Blaze",$K$10=TRUE,G4&gt;6),'Atk Speed Boosts'!$C$92,0)
+IF(AND($A$4="Mewtwo Y",$I$9="Pressure",$K$9=TRUE),'Atk Speed Boosts'!$C$97*$L$9,0)
+IF(AND($A$4="Mewtwo Y",$I$10="Mega Evolution",$K$10=TRUE,G4&gt;4),'Atk Speed Boosts'!$C$98,0)
+IF(AND($A$4="Ninetales",$I$9="Aurora Veil",$K$9=TRUE,G4&gt;5),'Atk Speed Boosts'!$C$103,0)
+IF(AND($A$4="Pawmot",$I$9="Fighter Mode",$K$9=TRUE,G4&gt;8),'Atk Speed Boosts'!$C$105*$L$9,0)
+IF(AND($A$4="Pawmot",$I$10="Unite Buff",$K$10=TRUE,G4&gt;8),'Atk Speed Boosts'!$C$105,0)
+IF(AND($A$4="Raichu",$I$9="Stored Power",$K$9=TRUE,G4&gt;4),'Atk Speed Boosts'!$C$110,0)
+IF(AND($A$4="Raichu",$I$10="Unite Buff",$K$10=TRUE,G4&gt;8),'Atk Speed Boosts'!$C$111,0)
+IF(AND($A$4="Tsareena",$I$9="Triple Axel",$K$9=TRUE,G4&gt;4),('Atk Speed Boosts'!$C$126+'Atk Speed Boosts'!$D$126*(G4-1))*$L$9,0)
+IF(AND($A$4="Zacian",$I$9="Metal Claw",$K$9=TRUE,G4&gt;4),'Atk Speed Boosts'!$C$135,0)
+IF(AND($A$4="Zeraora",$I$9="Agility",$K$9=TRUE,G4&lt;5),'Atk Speed Boosts'!$C$137,0)
+IF(AND($A$4="Zeraora",$I$10="Volt Switch",$K$10=TRUE,G4&gt;4,G4&lt;11),'Atk Speed Boosts'!$C$138,0)
+IF(AND($A$4="Zeraora",$I$11="Volt Switch+",$K$11=TRUE,G4&gt;10),'Atk Speed Boosts'!$C$139,0)
+IF(AND($A$4="Zeraora",$I$12="Unite Buff",$K$12=TRUE,G4&gt;8),'Atk Speed Boosts'!$C$140,0)</f>
        <v>35</v>
      </c>
      <c r="H6" s="25">
        <f>IF($G$9=TRUE,'Atk Speed Boosts'!$C$9,0)
+IF($G$10=TRUE,'Atk Speed Boosts'!$C$10,0)+$G$11
+IF(AND($A$4="Absol",$I$9="Feint",$K$9=TRUE,H4&lt;5),'Atk Speed Boosts'!$C$11,0)
+IF(AND($A$4="Absol",$I$10="Night Slash",$K$10=TRUE,H4&gt;4),'Atk Speed Boosts'!$C$12,0)
+IF(AND($A$4="Absol",$I$11="Sucker Punch+",$K$11=TRUE,H4&gt;12),'Atk Speed Boosts'!$C$13,0)
+IF(AND($A$4="Aegislash",$I$9="Sword Stance",$K$9=TRUE,H4&gt;6),'Atk Speed Boosts'!$C$14,0)
+IF(AND($A$4="Aegislash",$I$10="Shield Stance",$K$10=TRUE,H4&gt;6),'Atk Speed Boosts'!$C$15,0)
+IF(AND($A$4="Aegislash",$I$11="Stance Change",$K$11=TRUE,H4&gt;6),'Atk Speed Boosts'!$C$16,0)
+IF(AND($A$4="Azumarill",$I$9="Aqua Tail",$K$9=TRUE,H4&gt;3),'Atk Speed Boosts'!$C$20,0)
+IF(AND($A$4="Blaziken",$I$9="Punch Style",$K$9=TRUE,OR(H4&lt;5,H4&gt;7)),'Atk Speed Boosts'!$C$22,0)
+IF(AND($A$4="Buzzwole",$I$9="Beast Boost Assist",$K$9=TRUE),'Atk Speed Boosts'!$C$24,0)
+IF(AND($A$4="Buzzwole",$I$10="Beast Boost KO",$K$10=TRUE),'Atk Speed Boosts'!$C$25,0)
+IF(AND($A$4="Buzzwole",$I$11="Lunge",$K$11=TRUE,H4&gt;6),'Atk Speed Boosts'!$C$26,0)
+IF(AND($A$4="Ceruledge",$I$9="Take Down",$K$9=TRUE,H4&lt;7),'Atk Speed Boosts'!$C$27,0)
+IF(AND($A$4="Ceruledge",$I$10="Flame Charge",$K$10=TRUE,H4&gt;6),'Atk Speed Boosts'!$C$28,0)
+IF(AND($A$4="Cinderace",$I$9="Blaze",$K$9=TRUE),'Atk Speed Boosts'!$C$33,0)
+IF(AND($A$4="Cinderace",$I$10="Blaze Kick+",$K$10=TRUE,H4&gt;10),'Atk Speed Boosts'!$C$34,0)
+IF(AND($A$4="Cinderace",$I$11="Unite Buff",$K$11=TRUE,H4&gt;8),'Atk Speed Boosts'!$C$35,0)
+IF(AND($A$4="Decidueye",$I$9="Auto Attack",$K$9=TRUE),'Atk Speed Boosts'!$C$41*$L$9,0)
+IF(AND($A$4="Decidueye",$I$10="Leafage",$K$10=TRUE,H4&lt;7),'Atk Speed Boosts'!$C$42,0)
+IF(AND($A$4="Decidueye",$I$11="Razor Leaf",$K$11=TRUE,H4&gt;6),'Atk Speed Boosts'!$C$43+'Atk Speed Boosts'!$D$43*(H4-1),0)
+IF(AND($A$4="Dragapult",$I$9="Quick Attack",$K$9=TRUE,H4&lt;5),'Atk Speed Boosts'!$C$47,0)
+IF(AND($A$4="Dragapult",$I$10="Dragon Dance",$K$10=TRUE,H4&gt;4),'Atk Speed Boosts'!$C$48,0)
+IF(AND($A$4="Dragapult",$I$11="Phantom Force",$K$11=TRUE,H4&gt;4),'Atk Speed Boosts'!$C$49,0)
+IF(AND($A$4="Dragonite",$I$9="Dragon Dance",$K$9=TRUE,H4&gt;4),'Atk Speed Boosts'!$C$50,0)
+IF(AND($A$4="Dragonite",$I$10="Outrage",$K$10=TRUE,H4&gt;7),'Atk Speed Boosts'!$C$51,0)
+IF(AND($A$4="Dragonite",$I$11="Unite Buff",$K$11=TRUE,H4&gt;8),'Atk Speed Boosts'!$C$52,0)
+IF(AND($A$4="Duraludon",$I$9="Flash Cannon",$K$9=TRUE,H4&gt;4),'Atk Speed Boosts'!$C$53-20*$L$9,0)
+IF(AND($A$4="Duraludon",$I$10="Unite Buff",$K$10=TRUE,H4&gt;8),'Atk Speed Boosts'!$C$54,0)
+IF(AND($A$4="Empoleon",$I$9="Aqua Jet",$K$9=TRUE,H4&gt;4),'Atk Speed Boosts'!$C$56,0)
+IF(AND($A$4="Falinks",$I$9="Bulk Up",$K$9=TRUE,H4&lt;6),'Atk Speed Boosts'!$C$58,0)
+IF(AND($A$4="Feraligatr",$I$9="Crunch",$K$9=TRUE,H4&lt;4),'Atk Speed Boosts'!$C$59,0)
+IF(AND($A$4="Feraligatr",$I$9="Unite Buff",$K$9=TRUE,H4&lt;8),'Atk Speed Boosts'!$C$60,0)
+IF(AND($A$4="Garchomp",$I$9="Boosted Attack",$K$9=TRUE),'Atk Speed Boosts'!$C$61+'Atk Speed Boosts'!$D$61*(H4-1),0)
+IF(AND($A$4="Garchomp",$I$10="Sand Attack",$K$10=TRUE,H4&lt;5),'Atk Speed Boosts'!$C$62,0)
+IF(AND($A$4="Glaceon",$I$9="Eevee Bond",$K$9=TRUE),'Atk Speed Boosts'!$C$65,0)
+IF(AND($A$4="Glaceon",$I$10="Ice Shard",$K$10=TRUE,H4&gt;5,H4&lt;12),'Atk Speed Boosts'!$C$66,0)
+IF(AND($A$4="Glaceon",$I$11="Ice Shard+",$K$11=TRUE,H4&gt;11),'Atk Speed Boosts'!$C$67,0)
+IF(AND($A$4="Glaceon",$I$12="Unite Buff",$K$12=TRUE,H4&gt;7),'Atk Speed Boosts'!$C$68,0)
+IF(AND($A$4="Greninja",$I$9="Unite Buff",$K$9=TRUE,H4&gt;8),'Atk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Buff",$K$9=TRUE,H4&gt;8),'Atk Speed Boosts'!$C$78,0)
+IF(AND($A$4="Machamp",$I$9="Bulk Up",$K$9=TRUE,H4&lt;5),'Atk Speed Boosts'!$C$85,0)
+IF(AND($A$4="Machamp",$I$10="Submission",$K$10=TRUE,H4&gt;4,H4&lt;11),'Atk Speed Boosts'!$C$86,0)
+IF(AND($A$4="Machamp",$I$11="Submission+",$K$11=TRUE,H4&gt;10),'Atk Speed Boosts'!$C$87,0)
+IF(AND($A$4="Machamp",$I$12="Unite Buff",$K$12=TRUE,H4&gt;8),'Atk Speed Boosts'!$C$88,0)
+IF(AND($A$4="Meowscarada",$I$9="Hone Claws",$K$9=TRUE,H4&lt;7),'Atk Speed Boosts'!$C$91,0)
+IF(AND($A$4="Meowscarada",$I$10="Trail Blaze",$K$10=TRUE,H4&gt;6),'Atk Speed Boosts'!$C$92,0)
+IF(AND($A$4="Mewtwo Y",$I$9="Pressure",$K$9=TRUE),'Atk Speed Boosts'!$C$97*$L$9,0)
+IF(AND($A$4="Mewtwo Y",$I$10="Mega Evolution",$K$10=TRUE,H4&gt;4),'Atk Speed Boosts'!$C$98,0)
+IF(AND($A$4="Ninetales",$I$9="Aurora Veil",$K$9=TRUE,H4&gt;5),'Atk Speed Boosts'!$C$103,0)
+IF(AND($A$4="Pawmot",$I$9="Fighter Mode",$K$9=TRUE,H4&gt;8),'Atk Speed Boosts'!$C$105*$L$9,0)
+IF(AND($A$4="Pawmot",$I$10="Unite Buff",$K$10=TRUE,H4&gt;8),'Atk Speed Boosts'!$C$105,0)
+IF(AND($A$4="Raichu",$I$9="Stored Power",$K$9=TRUE,H4&gt;4),'Atk Speed Boosts'!$C$110,0)
+IF(AND($A$4="Raichu",$I$10="Unite Buff",$K$10=TRUE,H4&gt;8),'Atk Speed Boosts'!$C$111,0)
+IF(AND($A$4="Tsareena",$I$9="Triple Axel",$K$9=TRUE,H4&gt;4),('Atk Speed Boosts'!$C$126+'Atk Speed Boosts'!$D$126*(H4-1))*$L$9,0)
+IF(AND($A$4="Zacian",$I$9="Metal Claw",$K$9=TRUE,H4&gt;4),'Atk Speed Boosts'!$C$135,0)
+IF(AND($A$4="Zeraora",$I$9="Agility",$K$9=TRUE,H4&lt;5),'Atk Speed Boosts'!$C$137,0)
+IF(AND($A$4="Zeraora",$I$10="Volt Switch",$K$10=TRUE,H4&gt;4,H4&lt;11),'Atk Speed Boosts'!$C$138,0)
+IF(AND($A$4="Zeraora",$I$11="Volt Switch+",$K$11=TRUE,H4&gt;10),'Atk Speed Boosts'!$C$139,0)
+IF(AND($A$4="Zeraora",$I$12="Unite Buff",$K$12=TRUE,H4&gt;8),'Atk Speed Boosts'!$C$140,0)</f>
        <v>35</v>
      </c>
      <c r="I6" s="25">
        <f>IF($G$9=TRUE,'Atk Speed Boosts'!$C$9,0)
+IF($G$10=TRUE,'Atk Speed Boosts'!$C$10,0)+$G$11
+IF(AND($A$4="Absol",$I$9="Feint",$K$9=TRUE,I4&lt;5),'Atk Speed Boosts'!$C$11,0)
+IF(AND($A$4="Absol",$I$10="Night Slash",$K$10=TRUE,I4&gt;4),'Atk Speed Boosts'!$C$12,0)
+IF(AND($A$4="Absol",$I$11="Sucker Punch+",$K$11=TRUE,I4&gt;12),'Atk Speed Boosts'!$C$13,0)
+IF(AND($A$4="Aegislash",$I$9="Sword Stance",$K$9=TRUE,I4&gt;6),'Atk Speed Boosts'!$C$14,0)
+IF(AND($A$4="Aegislash",$I$10="Shield Stance",$K$10=TRUE,I4&gt;6),'Atk Speed Boosts'!$C$15,0)
+IF(AND($A$4="Aegislash",$I$11="Stance Change",$K$11=TRUE,I4&gt;6),'Atk Speed Boosts'!$C$16,0)
+IF(AND($A$4="Azumarill",$I$9="Aqua Tail",$K$9=TRUE,I4&gt;3),'Atk Speed Boosts'!$C$20,0)
+IF(AND($A$4="Blaziken",$I$9="Punch Style",$K$9=TRUE,OR(I4&lt;5,I4&gt;7)),'Atk Speed Boosts'!$C$22,0)
+IF(AND($A$4="Buzzwole",$I$9="Beast Boost Assist",$K$9=TRUE),'Atk Speed Boosts'!$C$24,0)
+IF(AND($A$4="Buzzwole",$I$10="Beast Boost KO",$K$10=TRUE),'Atk Speed Boosts'!$C$25,0)
+IF(AND($A$4="Buzzwole",$I$11="Lunge",$K$11=TRUE,I4&gt;6),'Atk Speed Boosts'!$C$26,0)
+IF(AND($A$4="Ceruledge",$I$9="Take Down",$K$9=TRUE,I4&lt;7),'Atk Speed Boosts'!$C$27,0)
+IF(AND($A$4="Ceruledge",$I$10="Flame Charge",$K$10=TRUE,I4&gt;6),'Atk Speed Boosts'!$C$28,0)
+IF(AND($A$4="Cinderace",$I$9="Blaze",$K$9=TRUE),'Atk Speed Boosts'!$C$33,0)
+IF(AND($A$4="Cinderace",$I$10="Blaze Kick+",$K$10=TRUE,I4&gt;10),'Atk Speed Boosts'!$C$34,0)
+IF(AND($A$4="Cinderace",$I$11="Unite Buff",$K$11=TRUE,I4&gt;8),'Atk Speed Boosts'!$C$35,0)
+IF(AND($A$4="Decidueye",$I$9="Auto Attack",$K$9=TRUE),'Atk Speed Boosts'!$C$41*$L$9,0)
+IF(AND($A$4="Decidueye",$I$10="Leafage",$K$10=TRUE,I4&lt;7),'Atk Speed Boosts'!$C$42,0)
+IF(AND($A$4="Decidueye",$I$11="Razor Leaf",$K$11=TRUE,I4&gt;6),'Atk Speed Boosts'!$C$43+'Atk Speed Boosts'!$D$43*(I4-1),0)
+IF(AND($A$4="Dragapult",$I$9="Quick Attack",$K$9=TRUE,I4&lt;5),'Atk Speed Boosts'!$C$47,0)
+IF(AND($A$4="Dragapult",$I$10="Dragon Dance",$K$10=TRUE,I4&gt;4),'Atk Speed Boosts'!$C$48,0)
+IF(AND($A$4="Dragapult",$I$11="Phantom Force",$K$11=TRUE,I4&gt;4),'Atk Speed Boosts'!$C$49,0)
+IF(AND($A$4="Dragonite",$I$9="Dragon Dance",$K$9=TRUE,I4&gt;4),'Atk Speed Boosts'!$C$50,0)
+IF(AND($A$4="Dragonite",$I$10="Outrage",$K$10=TRUE,I4&gt;7),'Atk Speed Boosts'!$C$51,0)
+IF(AND($A$4="Dragonite",$I$11="Unite Buff",$K$11=TRUE,I4&gt;8),'Atk Speed Boosts'!$C$52,0)
+IF(AND($A$4="Duraludon",$I$9="Flash Cannon",$K$9=TRUE,I4&gt;4),'Atk Speed Boosts'!$C$53-20*$L$9,0)
+IF(AND($A$4="Duraludon",$I$10="Unite Buff",$K$10=TRUE,I4&gt;8),'Atk Speed Boosts'!$C$54,0)
+IF(AND($A$4="Empoleon",$I$9="Aqua Jet",$K$9=TRUE,I4&gt;4),'Atk Speed Boosts'!$C$56,0)
+IF(AND($A$4="Falinks",$I$9="Bulk Up",$K$9=TRUE,I4&lt;6),'Atk Speed Boosts'!$C$58,0)
+IF(AND($A$4="Feraligatr",$I$9="Crunch",$K$9=TRUE,I4&lt;4),'Atk Speed Boosts'!$C$59,0)
+IF(AND($A$4="Feraligatr",$I$9="Unite Buff",$K$9=TRUE,I4&lt;8),'Atk Speed Boosts'!$C$60,0)
+IF(AND($A$4="Garchomp",$I$9="Boosted Attack",$K$9=TRUE),'Atk Speed Boosts'!$C$61+'Atk Speed Boosts'!$D$61*(I4-1),0)
+IF(AND($A$4="Garchomp",$I$10="Sand Attack",$K$10=TRUE,I4&lt;5),'Atk Speed Boosts'!$C$62,0)
+IF(AND($A$4="Glaceon",$I$9="Eevee Bond",$K$9=TRUE),'Atk Speed Boosts'!$C$65,0)
+IF(AND($A$4="Glaceon",$I$10="Ice Shard",$K$10=TRUE,I4&gt;5,I4&lt;12),'Atk Speed Boosts'!$C$66,0)
+IF(AND($A$4="Glaceon",$I$11="Ice Shard+",$K$11=TRUE,I4&gt;11),'Atk Speed Boosts'!$C$67,0)
+IF(AND($A$4="Glaceon",$I$12="Unite Buff",$K$12=TRUE,I4&gt;7),'Atk Speed Boosts'!$C$68,0)
+IF(AND($A$4="Greninja",$I$9="Unite Buff",$K$9=TRUE,I4&gt;8),'Atk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Buff",$K$9=TRUE,I4&gt;8),'Atk Speed Boosts'!$C$78,0)
+IF(AND($A$4="Machamp",$I$9="Bulk Up",$K$9=TRUE,I4&lt;5),'Atk Speed Boosts'!$C$85,0)
+IF(AND($A$4="Machamp",$I$10="Submission",$K$10=TRUE,I4&gt;4,I4&lt;11),'Atk Speed Boosts'!$C$86,0)
+IF(AND($A$4="Machamp",$I$11="Submission+",$K$11=TRUE,I4&gt;10),'Atk Speed Boosts'!$C$87,0)
+IF(AND($A$4="Machamp",$I$12="Unite Buff",$K$12=TRUE,I4&gt;8),'Atk Speed Boosts'!$C$88,0)
+IF(AND($A$4="Meowscarada",$I$9="Hone Claws",$K$9=TRUE,I4&lt;7),'Atk Speed Boosts'!$C$91,0)
+IF(AND($A$4="Meowscarada",$I$10="Trail Blaze",$K$10=TRUE,I4&gt;6),'Atk Speed Boosts'!$C$92,0)
+IF(AND($A$4="Mewtwo Y",$I$9="Pressure",$K$9=TRUE),'Atk Speed Boosts'!$C$97*$L$9,0)
+IF(AND($A$4="Mewtwo Y",$I$10="Mega Evolution",$K$10=TRUE,I4&gt;4),'Atk Speed Boosts'!$C$98,0)
+IF(AND($A$4="Ninetales",$I$9="Aurora Veil",$K$9=TRUE,I4&gt;5),'Atk Speed Boosts'!$C$103,0)
+IF(AND($A$4="Pawmot",$I$9="Fighter Mode",$K$9=TRUE,I4&gt;8),'Atk Speed Boosts'!$C$105*$L$9,0)
+IF(AND($A$4="Pawmot",$I$10="Unite Buff",$K$10=TRUE,I4&gt;8),'Atk Speed Boosts'!$C$105,0)
+IF(AND($A$4="Raichu",$I$9="Stored Power",$K$9=TRUE,I4&gt;4),'Atk Speed Boosts'!$C$110,0)
+IF(AND($A$4="Raichu",$I$10="Unite Buff",$K$10=TRUE,I4&gt;8),'Atk Speed Boosts'!$C$111,0)
+IF(AND($A$4="Tsareena",$I$9="Triple Axel",$K$9=TRUE,I4&gt;4),('Atk Speed Boosts'!$C$126+'Atk Speed Boosts'!$D$126*(I4-1))*$L$9,0)
+IF(AND($A$4="Zacian",$I$9="Metal Claw",$K$9=TRUE,I4&gt;4),'Atk Speed Boosts'!$C$135,0)
+IF(AND($A$4="Zeraora",$I$9="Agility",$K$9=TRUE,I4&lt;5),'Atk Speed Boosts'!$C$137,0)
+IF(AND($A$4="Zeraora",$I$10="Volt Switch",$K$10=TRUE,I4&gt;4,I4&lt;11),'Atk Speed Boosts'!$C$138,0)
+IF(AND($A$4="Zeraora",$I$11="Volt Switch+",$K$11=TRUE,I4&gt;10),'Atk Speed Boosts'!$C$139,0)
+IF(AND($A$4="Zeraora",$I$12="Unite Buff",$K$12=TRUE,I4&gt;8),'Atk Speed Boosts'!$C$140,0)</f>
        <v>35</v>
      </c>
      <c r="J6" s="25">
        <f>IF($G$9=TRUE,'Atk Speed Boosts'!$C$9,0)
+IF($G$10=TRUE,'Atk Speed Boosts'!$C$10,0)+$G$11
+IF(AND($A$4="Absol",$I$9="Feint",$K$9=TRUE,J4&lt;5),'Atk Speed Boosts'!$C$11,0)
+IF(AND($A$4="Absol",$I$10="Night Slash",$K$10=TRUE,J4&gt;4),'Atk Speed Boosts'!$C$12,0)
+IF(AND($A$4="Absol",$I$11="Sucker Punch+",$K$11=TRUE,J4&gt;12),'Atk Speed Boosts'!$C$13,0)
+IF(AND($A$4="Aegislash",$I$9="Sword Stance",$K$9=TRUE,J4&gt;6),'Atk Speed Boosts'!$C$14,0)
+IF(AND($A$4="Aegislash",$I$10="Shield Stance",$K$10=TRUE,J4&gt;6),'Atk Speed Boosts'!$C$15,0)
+IF(AND($A$4="Aegislash",$I$11="Stance Change",$K$11=TRUE,J4&gt;6),'Atk Speed Boosts'!$C$16,0)
+IF(AND($A$4="Azumarill",$I$9="Aqua Tail",$K$9=TRUE,J4&gt;3),'Atk Speed Boosts'!$C$20,0)
+IF(AND($A$4="Blaziken",$I$9="Punch Style",$K$9=TRUE,OR(J4&lt;5,J4&gt;7)),'Atk Speed Boosts'!$C$22,0)
+IF(AND($A$4="Buzzwole",$I$9="Beast Boost Assist",$K$9=TRUE),'Atk Speed Boosts'!$C$24,0)
+IF(AND($A$4="Buzzwole",$I$10="Beast Boost KO",$K$10=TRUE),'Atk Speed Boosts'!$C$25,0)
+IF(AND($A$4="Buzzwole",$I$11="Lunge",$K$11=TRUE,J4&gt;6),'Atk Speed Boosts'!$C$26,0)
+IF(AND($A$4="Ceruledge",$I$9="Take Down",$K$9=TRUE,J4&lt;7),'Atk Speed Boosts'!$C$27,0)
+IF(AND($A$4="Ceruledge",$I$10="Flame Charge",$K$10=TRUE,J4&gt;6),'Atk Speed Boosts'!$C$28,0)
+IF(AND($A$4="Cinderace",$I$9="Blaze",$K$9=TRUE),'Atk Speed Boosts'!$C$33,0)
+IF(AND($A$4="Cinderace",$I$10="Blaze Kick+",$K$10=TRUE,J4&gt;10),'Atk Speed Boosts'!$C$34,0)
+IF(AND($A$4="Cinderace",$I$11="Unite Buff",$K$11=TRUE,J4&gt;8),'Atk Speed Boosts'!$C$35,0)
+IF(AND($A$4="Decidueye",$I$9="Auto Attack",$K$9=TRUE),'Atk Speed Boosts'!$C$41*$L$9,0)
+IF(AND($A$4="Decidueye",$I$10="Leafage",$K$10=TRUE,J4&lt;7),'Atk Speed Boosts'!$C$42,0)
+IF(AND($A$4="Decidueye",$I$11="Razor Leaf",$K$11=TRUE,J4&gt;6),'Atk Speed Boosts'!$C$43+'Atk Speed Boosts'!$D$43*(J4-1),0)
+IF(AND($A$4="Dragapult",$I$9="Quick Attack",$K$9=TRUE,J4&lt;5),'Atk Speed Boosts'!$C$47,0)
+IF(AND($A$4="Dragapult",$I$10="Dragon Dance",$K$10=TRUE,J4&gt;4),'Atk Speed Boosts'!$C$48,0)
+IF(AND($A$4="Dragapult",$I$11="Phantom Force",$K$11=TRUE,J4&gt;4),'Atk Speed Boosts'!$C$49,0)
+IF(AND($A$4="Dragonite",$I$9="Dragon Dance",$K$9=TRUE,J4&gt;4),'Atk Speed Boosts'!$C$50,0)
+IF(AND($A$4="Dragonite",$I$10="Outrage",$K$10=TRUE,J4&gt;7),'Atk Speed Boosts'!$C$51,0)
+IF(AND($A$4="Dragonite",$I$11="Unite Buff",$K$11=TRUE,J4&gt;8),'Atk Speed Boosts'!$C$52,0)
+IF(AND($A$4="Duraludon",$I$9="Flash Cannon",$K$9=TRUE,J4&gt;4),'Atk Speed Boosts'!$C$53-20*$L$9,0)
+IF(AND($A$4="Duraludon",$I$10="Unite Buff",$K$10=TRUE,J4&gt;8),'Atk Speed Boosts'!$C$54,0)
+IF(AND($A$4="Empoleon",$I$9="Aqua Jet",$K$9=TRUE,J4&gt;4),'Atk Speed Boosts'!$C$56,0)
+IF(AND($A$4="Falinks",$I$9="Bulk Up",$K$9=TRUE,J4&lt;6),'Atk Speed Boosts'!$C$58,0)
+IF(AND($A$4="Feraligatr",$I$9="Crunch",$K$9=TRUE,J4&lt;4),'Atk Speed Boosts'!$C$59,0)
+IF(AND($A$4="Feraligatr",$I$9="Unite Buff",$K$9=TRUE,J4&lt;8),'Atk Speed Boosts'!$C$60,0)
+IF(AND($A$4="Garchomp",$I$9="Boosted Attack",$K$9=TRUE),'Atk Speed Boosts'!$C$61+'Atk Speed Boosts'!$D$61*(J4-1),0)
+IF(AND($A$4="Garchomp",$I$10="Sand Attack",$K$10=TRUE,J4&lt;5),'Atk Speed Boosts'!$C$62,0)
+IF(AND($A$4="Glaceon",$I$9="Eevee Bond",$K$9=TRUE),'Atk Speed Boosts'!$C$65,0)
+IF(AND($A$4="Glaceon",$I$10="Ice Shard",$K$10=TRUE,J4&gt;5,J4&lt;12),'Atk Speed Boosts'!$C$66,0)
+IF(AND($A$4="Glaceon",$I$11="Ice Shard+",$K$11=TRUE,J4&gt;11),'Atk Speed Boosts'!$C$67,0)
+IF(AND($A$4="Glaceon",$I$12="Unite Buff",$K$12=TRUE,J4&gt;7),'Atk Speed Boosts'!$C$68,0)
+IF(AND($A$4="Greninja",$I$9="Unite Buff",$K$9=TRUE,J4&gt;8),'Atk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Buff",$K$9=TRUE,J4&gt;8),'Atk Speed Boosts'!$C$78,0)
+IF(AND($A$4="Machamp",$I$9="Bulk Up",$K$9=TRUE,J4&lt;5),'Atk Speed Boosts'!$C$85,0)
+IF(AND($A$4="Machamp",$I$10="Submission",$K$10=TRUE,J4&gt;4,J4&lt;11),'Atk Speed Boosts'!$C$86,0)
+IF(AND($A$4="Machamp",$I$11="Submission+",$K$11=TRUE,J4&gt;10),'Atk Speed Boosts'!$C$87,0)
+IF(AND($A$4="Machamp",$I$12="Unite Buff",$K$12=TRUE,J4&gt;8),'Atk Speed Boosts'!$C$88,0)
+IF(AND($A$4="Meowscarada",$I$9="Hone Claws",$K$9=TRUE,J4&lt;7),'Atk Speed Boosts'!$C$91,0)
+IF(AND($A$4="Meowscarada",$I$10="Trail Blaze",$K$10=TRUE,J4&gt;6),'Atk Speed Boosts'!$C$92,0)
+IF(AND($A$4="Mewtwo Y",$I$9="Pressure",$K$9=TRUE),'Atk Speed Boosts'!$C$97*$L$9,0)
+IF(AND($A$4="Mewtwo Y",$I$10="Mega Evolution",$K$10=TRUE,J4&gt;4),'Atk Speed Boosts'!$C$98,0)
+IF(AND($A$4="Ninetales",$I$9="Aurora Veil",$K$9=TRUE,J4&gt;5),'Atk Speed Boosts'!$C$103,0)
+IF(AND($A$4="Pawmot",$I$9="Fighter Mode",$K$9=TRUE,J4&gt;8),'Atk Speed Boosts'!$C$105*$L$9,0)
+IF(AND($A$4="Pawmot",$I$10="Unite Buff",$K$10=TRUE,J4&gt;8),'Atk Speed Boosts'!$C$105,0)
+IF(AND($A$4="Raichu",$I$9="Stored Power",$K$9=TRUE,J4&gt;4),'Atk Speed Boosts'!$C$110,0)
+IF(AND($A$4="Raichu",$I$10="Unite Buff",$K$10=TRUE,J4&gt;8),'Atk Speed Boosts'!$C$111,0)
+IF(AND($A$4="Tsareena",$I$9="Triple Axel",$K$9=TRUE,J4&gt;4),('Atk Speed Boosts'!$C$126+'Atk Speed Boosts'!$D$126*(J4-1))*$L$9,0)
+IF(AND($A$4="Zacian",$I$9="Metal Claw",$K$9=TRUE,J4&gt;4),'Atk Speed Boosts'!$C$135,0)
+IF(AND($A$4="Zeraora",$I$9="Agility",$K$9=TRUE,J4&lt;5),'Atk Speed Boosts'!$C$137,0)
+IF(AND($A$4="Zeraora",$I$10="Volt Switch",$K$10=TRUE,J4&gt;4,J4&lt;11),'Atk Speed Boosts'!$C$138,0)
+IF(AND($A$4="Zeraora",$I$11="Volt Switch+",$K$11=TRUE,J4&gt;10),'Atk Speed Boosts'!$C$139,0)
+IF(AND($A$4="Zeraora",$I$12="Unite Buff",$K$12=TRUE,J4&gt;8),'Atk Speed Boosts'!$C$140,0)</f>
        <v>35</v>
      </c>
      <c r="K6" s="25">
        <f>IF($G$9=TRUE,'Atk Speed Boosts'!$C$9,0)
+IF($G$10=TRUE,'Atk Speed Boosts'!$C$10,0)+$G$11
+IF(AND($A$4="Absol",$I$9="Feint",$K$9=TRUE,K4&lt;5),'Atk Speed Boosts'!$C$11,0)
+IF(AND($A$4="Absol",$I$10="Night Slash",$K$10=TRUE,K4&gt;4),'Atk Speed Boosts'!$C$12,0)
+IF(AND($A$4="Absol",$I$11="Sucker Punch+",$K$11=TRUE,K4&gt;12),'Atk Speed Boosts'!$C$13,0)
+IF(AND($A$4="Aegislash",$I$9="Sword Stance",$K$9=TRUE,K4&gt;6),'Atk Speed Boosts'!$C$14,0)
+IF(AND($A$4="Aegislash",$I$10="Shield Stance",$K$10=TRUE,K4&gt;6),'Atk Speed Boosts'!$C$15,0)
+IF(AND($A$4="Aegislash",$I$11="Stance Change",$K$11=TRUE,K4&gt;6),'Atk Speed Boosts'!$C$16,0)
+IF(AND($A$4="Azumarill",$I$9="Aqua Tail",$K$9=TRUE,K4&gt;3),'Atk Speed Boosts'!$C$20,0)
+IF(AND($A$4="Blaziken",$I$9="Punch Style",$K$9=TRUE,OR(K4&lt;5,K4&gt;7)),'Atk Speed Boosts'!$C$22,0)
+IF(AND($A$4="Buzzwole",$I$9="Beast Boost Assist",$K$9=TRUE),'Atk Speed Boosts'!$C$24,0)
+IF(AND($A$4="Buzzwole",$I$10="Beast Boost KO",$K$10=TRUE),'Atk Speed Boosts'!$C$25,0)
+IF(AND($A$4="Buzzwole",$I$11="Lunge",$K$11=TRUE,K4&gt;6),'Atk Speed Boosts'!$C$26,0)
+IF(AND($A$4="Ceruledge",$I$9="Take Down",$K$9=TRUE,K4&lt;7),'Atk Speed Boosts'!$C$27,0)
+IF(AND($A$4="Ceruledge",$I$10="Flame Charge",$K$10=TRUE,K4&gt;6),'Atk Speed Boosts'!$C$28,0)
+IF(AND($A$4="Cinderace",$I$9="Blaze",$K$9=TRUE),'Atk Speed Boosts'!$C$33,0)
+IF(AND($A$4="Cinderace",$I$10="Blaze Kick+",$K$10=TRUE,K4&gt;10),'Atk Speed Boosts'!$C$34,0)
+IF(AND($A$4="Cinderace",$I$11="Unite Buff",$K$11=TRUE,K4&gt;8),'Atk Speed Boosts'!$C$35,0)
+IF(AND($A$4="Decidueye",$I$9="Auto Attack",$K$9=TRUE),'Atk Speed Boosts'!$C$41*$L$9,0)
+IF(AND($A$4="Decidueye",$I$10="Leafage",$K$10=TRUE,K4&lt;7),'Atk Speed Boosts'!$C$42,0)
+IF(AND($A$4="Decidueye",$I$11="Razor Leaf",$K$11=TRUE,K4&gt;6),'Atk Speed Boosts'!$C$43+'Atk Speed Boosts'!$D$43*(K4-1),0)
+IF(AND($A$4="Dragapult",$I$9="Quick Attack",$K$9=TRUE,K4&lt;5),'Atk Speed Boosts'!$C$47,0)
+IF(AND($A$4="Dragapult",$I$10="Dragon Dance",$K$10=TRUE,K4&gt;4),'Atk Speed Boosts'!$C$48,0)
+IF(AND($A$4="Dragapult",$I$11="Phantom Force",$K$11=TRUE,K4&gt;4),'Atk Speed Boosts'!$C$49,0)
+IF(AND($A$4="Dragonite",$I$9="Dragon Dance",$K$9=TRUE,K4&gt;4),'Atk Speed Boosts'!$C$50,0)
+IF(AND($A$4="Dragonite",$I$10="Outrage",$K$10=TRUE,K4&gt;7),'Atk Speed Boosts'!$C$51,0)
+IF(AND($A$4="Dragonite",$I$11="Unite Buff",$K$11=TRUE,K4&gt;8),'Atk Speed Boosts'!$C$52,0)
+IF(AND($A$4="Duraludon",$I$9="Flash Cannon",$K$9=TRUE,K4&gt;4),'Atk Speed Boosts'!$C$53-20*$L$9,0)
+IF(AND($A$4="Duraludon",$I$10="Unite Buff",$K$10=TRUE,K4&gt;8),'Atk Speed Boosts'!$C$54,0)
+IF(AND($A$4="Empoleon",$I$9="Aqua Jet",$K$9=TRUE,K4&gt;4),'Atk Speed Boosts'!$C$56,0)
+IF(AND($A$4="Falinks",$I$9="Bulk Up",$K$9=TRUE,K4&lt;6),'Atk Speed Boosts'!$C$58,0)
+IF(AND($A$4="Feraligatr",$I$9="Crunch",$K$9=TRUE,K4&lt;4),'Atk Speed Boosts'!$C$59,0)
+IF(AND($A$4="Feraligatr",$I$9="Unite Buff",$K$9=TRUE,K4&lt;8),'Atk Speed Boosts'!$C$60,0)
+IF(AND($A$4="Garchomp",$I$9="Boosted Attack",$K$9=TRUE),'Atk Speed Boosts'!$C$61+'Atk Speed Boosts'!$D$61*(K4-1),0)
+IF(AND($A$4="Garchomp",$I$10="Sand Attack",$K$10=TRUE,K4&lt;5),'Atk Speed Boosts'!$C$62,0)
+IF(AND($A$4="Glaceon",$I$9="Eevee Bond",$K$9=TRUE),'Atk Speed Boosts'!$C$65,0)
+IF(AND($A$4="Glaceon",$I$10="Ice Shard",$K$10=TRUE,K4&gt;5,K4&lt;12),'Atk Speed Boosts'!$C$66,0)
+IF(AND($A$4="Glaceon",$I$11="Ice Shard+",$K$11=TRUE,K4&gt;11),'Atk Speed Boosts'!$C$67,0)
+IF(AND($A$4="Glaceon",$I$12="Unite Buff",$K$12=TRUE,K4&gt;7),'Atk Speed Boosts'!$C$68,0)
+IF(AND($A$4="Greninja",$I$9="Unite Buff",$K$9=TRUE,K4&gt;8),'Atk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Buff",$K$9=TRUE,K4&gt;8),'Atk Speed Boosts'!$C$78,0)
+IF(AND($A$4="Machamp",$I$9="Bulk Up",$K$9=TRUE,K4&lt;5),'Atk Speed Boosts'!$C$85,0)
+IF(AND($A$4="Machamp",$I$10="Submission",$K$10=TRUE,K4&gt;4,K4&lt;11),'Atk Speed Boosts'!$C$86,0)
+IF(AND($A$4="Machamp",$I$11="Submission+",$K$11=TRUE,K4&gt;10),'Atk Speed Boosts'!$C$87,0)
+IF(AND($A$4="Machamp",$I$12="Unite Buff",$K$12=TRUE,K4&gt;8),'Atk Speed Boosts'!$C$88,0)
+IF(AND($A$4="Meowscarada",$I$9="Hone Claws",$K$9=TRUE,K4&lt;7),'Atk Speed Boosts'!$C$91,0)
+IF(AND($A$4="Meowscarada",$I$10="Trail Blaze",$K$10=TRUE,K4&gt;6),'Atk Speed Boosts'!$C$92,0)
+IF(AND($A$4="Mewtwo Y",$I$9="Pressure",$K$9=TRUE),'Atk Speed Boosts'!$C$97*$L$9,0)
+IF(AND($A$4="Mewtwo Y",$I$10="Mega Evolution",$K$10=TRUE,K4&gt;4),'Atk Speed Boosts'!$C$98,0)
+IF(AND($A$4="Ninetales",$I$9="Aurora Veil",$K$9=TRUE,K4&gt;5),'Atk Speed Boosts'!$C$103,0)
+IF(AND($A$4="Pawmot",$I$9="Fighter Mode",$K$9=TRUE,K4&gt;8),'Atk Speed Boosts'!$C$105*$L$9,0)
+IF(AND($A$4="Pawmot",$I$10="Unite Buff",$K$10=TRUE,K4&gt;8),'Atk Speed Boosts'!$C$105,0)
+IF(AND($A$4="Raichu",$I$9="Stored Power",$K$9=TRUE,K4&gt;4),'Atk Speed Boosts'!$C$110,0)
+IF(AND($A$4="Raichu",$I$10="Unite Buff",$K$10=TRUE,K4&gt;8),'Atk Speed Boosts'!$C$111,0)
+IF(AND($A$4="Tsareena",$I$9="Triple Axel",$K$9=TRUE,K4&gt;4),('Atk Speed Boosts'!$C$126+'Atk Speed Boosts'!$D$126*(K4-1))*$L$9,0)
+IF(AND($A$4="Zacian",$I$9="Metal Claw",$K$9=TRUE,K4&gt;4),'Atk Speed Boosts'!$C$135,0)
+IF(AND($A$4="Zeraora",$I$9="Agility",$K$9=TRUE,K4&lt;5),'Atk Speed Boosts'!$C$137,0)
+IF(AND($A$4="Zeraora",$I$10="Volt Switch",$K$10=TRUE,K4&gt;4,K4&lt;11),'Atk Speed Boosts'!$C$138,0)
+IF(AND($A$4="Zeraora",$I$11="Volt Switch+",$K$11=TRUE,K4&gt;10),'Atk Speed Boosts'!$C$139,0)
+IF(AND($A$4="Zeraora",$I$12="Unite Buff",$K$12=TRUE,K4&gt;8),'Atk Speed Boosts'!$C$140,0)</f>
        <v>35</v>
      </c>
      <c r="L6" s="25">
        <f>IF($G$9=TRUE,'Atk Speed Boosts'!$C$9,0)
+IF($G$10=TRUE,'Atk Speed Boosts'!$C$10,0)+$G$11
+IF(AND($A$4="Absol",$I$9="Feint",$K$9=TRUE,L4&lt;5),'Atk Speed Boosts'!$C$11,0)
+IF(AND($A$4="Absol",$I$10="Night Slash",$K$10=TRUE,L4&gt;4),'Atk Speed Boosts'!$C$12,0)
+IF(AND($A$4="Absol",$I$11="Sucker Punch+",$K$11=TRUE,L4&gt;12),'Atk Speed Boosts'!$C$13,0)
+IF(AND($A$4="Aegislash",$I$9="Sword Stance",$K$9=TRUE,L4&gt;6),'Atk Speed Boosts'!$C$14,0)
+IF(AND($A$4="Aegislash",$I$10="Shield Stance",$K$10=TRUE,L4&gt;6),'Atk Speed Boosts'!$C$15,0)
+IF(AND($A$4="Aegislash",$I$11="Stance Change",$K$11=TRUE,L4&gt;6),'Atk Speed Boosts'!$C$16,0)
+IF(AND($A$4="Azumarill",$I$9="Aqua Tail",$K$9=TRUE,L4&gt;3),'Atk Speed Boosts'!$C$20,0)
+IF(AND($A$4="Blaziken",$I$9="Punch Style",$K$9=TRUE,OR(L4&lt;5,L4&gt;7)),'Atk Speed Boosts'!$C$22,0)
+IF(AND($A$4="Buzzwole",$I$9="Beast Boost Assist",$K$9=TRUE),'Atk Speed Boosts'!$C$24,0)
+IF(AND($A$4="Buzzwole",$I$10="Beast Boost KO",$K$10=TRUE),'Atk Speed Boosts'!$C$25,0)
+IF(AND($A$4="Buzzwole",$I$11="Lunge",$K$11=TRUE,L4&gt;6),'Atk Speed Boosts'!$C$26,0)
+IF(AND($A$4="Ceruledge",$I$9="Take Down",$K$9=TRUE,L4&lt;7),'Atk Speed Boosts'!$C$27,0)
+IF(AND($A$4="Ceruledge",$I$10="Flame Charge",$K$10=TRUE,L4&gt;6),'Atk Speed Boosts'!$C$28,0)
+IF(AND($A$4="Cinderace",$I$9="Blaze",$K$9=TRUE),'Atk Speed Boosts'!$C$33,0)
+IF(AND($A$4="Cinderace",$I$10="Blaze Kick+",$K$10=TRUE,L4&gt;10),'Atk Speed Boosts'!$C$34,0)
+IF(AND($A$4="Cinderace",$I$11="Unite Buff",$K$11=TRUE,L4&gt;8),'Atk Speed Boosts'!$C$35,0)
+IF(AND($A$4="Decidueye",$I$9="Auto Attack",$K$9=TRUE),'Atk Speed Boosts'!$C$41*$L$9,0)
+IF(AND($A$4="Decidueye",$I$10="Leafage",$K$10=TRUE,L4&lt;7),'Atk Speed Boosts'!$C$42,0)
+IF(AND($A$4="Decidueye",$I$11="Razor Leaf",$K$11=TRUE,L4&gt;6),'Atk Speed Boosts'!$C$43+'Atk Speed Boosts'!$D$43*(L4-1),0)
+IF(AND($A$4="Dragapult",$I$9="Quick Attack",$K$9=TRUE,L4&lt;5),'Atk Speed Boosts'!$C$47,0)
+IF(AND($A$4="Dragapult",$I$10="Dragon Dance",$K$10=TRUE,L4&gt;4),'Atk Speed Boosts'!$C$48,0)
+IF(AND($A$4="Dragapult",$I$11="Phantom Force",$K$11=TRUE,L4&gt;4),'Atk Speed Boosts'!$C$49,0)
+IF(AND($A$4="Dragonite",$I$9="Dragon Dance",$K$9=TRUE,L4&gt;4),'Atk Speed Boosts'!$C$50,0)
+IF(AND($A$4="Dragonite",$I$10="Outrage",$K$10=TRUE,L4&gt;7),'Atk Speed Boosts'!$C$51,0)
+IF(AND($A$4="Dragonite",$I$11="Unite Buff",$K$11=TRUE,L4&gt;8),'Atk Speed Boosts'!$C$52,0)
+IF(AND($A$4="Duraludon",$I$9="Flash Cannon",$K$9=TRUE,L4&gt;4),'Atk Speed Boosts'!$C$53-20*$L$9,0)
+IF(AND($A$4="Duraludon",$I$10="Unite Buff",$K$10=TRUE,L4&gt;8),'Atk Speed Boosts'!$C$54,0)
+IF(AND($A$4="Empoleon",$I$9="Aqua Jet",$K$9=TRUE,L4&gt;4),'Atk Speed Boosts'!$C$56,0)
+IF(AND($A$4="Falinks",$I$9="Bulk Up",$K$9=TRUE,L4&lt;6),'Atk Speed Boosts'!$C$58,0)
+IF(AND($A$4="Feraligatr",$I$9="Crunch",$K$9=TRUE,L4&lt;4),'Atk Speed Boosts'!$C$59,0)
+IF(AND($A$4="Feraligatr",$I$9="Unite Buff",$K$9=TRUE,L4&lt;8),'Atk Speed Boosts'!$C$60,0)
+IF(AND($A$4="Garchomp",$I$9="Boosted Attack",$K$9=TRUE),'Atk Speed Boosts'!$C$61+'Atk Speed Boosts'!$D$61*(L4-1),0)
+IF(AND($A$4="Garchomp",$I$10="Sand Attack",$K$10=TRUE,L4&lt;5),'Atk Speed Boosts'!$C$62,0)
+IF(AND($A$4="Glaceon",$I$9="Eevee Bond",$K$9=TRUE),'Atk Speed Boosts'!$C$65,0)
+IF(AND($A$4="Glaceon",$I$10="Ice Shard",$K$10=TRUE,L4&gt;5,L4&lt;12),'Atk Speed Boosts'!$C$66,0)
+IF(AND($A$4="Glaceon",$I$11="Ice Shard+",$K$11=TRUE,L4&gt;11),'Atk Speed Boosts'!$C$67,0)
+IF(AND($A$4="Glaceon",$I$12="Unite Buff",$K$12=TRUE,L4&gt;7),'Atk Speed Boosts'!$C$68,0)
+IF(AND($A$4="Greninja",$I$9="Unite Buff",$K$9=TRUE,L4&gt;8),'Atk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Buff",$K$9=TRUE,L4&gt;8),'Atk Speed Boosts'!$C$78,0)
+IF(AND($A$4="Machamp",$I$9="Bulk Up",$K$9=TRUE,L4&lt;5),'Atk Speed Boosts'!$C$85,0)
+IF(AND($A$4="Machamp",$I$10="Submission",$K$10=TRUE,L4&gt;4,L4&lt;11),'Atk Speed Boosts'!$C$86,0)
+IF(AND($A$4="Machamp",$I$11="Submission+",$K$11=TRUE,L4&gt;10),'Atk Speed Boosts'!$C$87,0)
+IF(AND($A$4="Machamp",$I$12="Unite Buff",$K$12=TRUE,L4&gt;8),'Atk Speed Boosts'!$C$88,0)
+IF(AND($A$4="Meowscarada",$I$9="Hone Claws",$K$9=TRUE,L4&lt;7),'Atk Speed Boosts'!$C$91,0)
+IF(AND($A$4="Meowscarada",$I$10="Trail Blaze",$K$10=TRUE,L4&gt;6),'Atk Speed Boosts'!$C$92,0)
+IF(AND($A$4="Mewtwo Y",$I$9="Pressure",$K$9=TRUE),'Atk Speed Boosts'!$C$97*$L$9,0)
+IF(AND($A$4="Mewtwo Y",$I$10="Mega Evolution",$K$10=TRUE,L4&gt;4),'Atk Speed Boosts'!$C$98,0)
+IF(AND($A$4="Ninetales",$I$9="Aurora Veil",$K$9=TRUE,L4&gt;5),'Atk Speed Boosts'!$C$103,0)
+IF(AND($A$4="Pawmot",$I$9="Fighter Mode",$K$9=TRUE,L4&gt;8),'Atk Speed Boosts'!$C$105*$L$9,0)
+IF(AND($A$4="Pawmot",$I$10="Unite Buff",$K$10=TRUE,L4&gt;8),'Atk Speed Boosts'!$C$105,0)
+IF(AND($A$4="Raichu",$I$9="Stored Power",$K$9=TRUE,L4&gt;4),'Atk Speed Boosts'!$C$110,0)
+IF(AND($A$4="Raichu",$I$10="Unite Buff",$K$10=TRUE,L4&gt;8),'Atk Speed Boosts'!$C$111,0)
+IF(AND($A$4="Tsareena",$I$9="Triple Axel",$K$9=TRUE,L4&gt;4),('Atk Speed Boosts'!$C$126+'Atk Speed Boosts'!$D$126*(L4-1))*$L$9,0)
+IF(AND($A$4="Zacian",$I$9="Metal Claw",$K$9=TRUE,L4&gt;4),'Atk Speed Boosts'!$C$135,0)
+IF(AND($A$4="Zeraora",$I$9="Agility",$K$9=TRUE,L4&lt;5),'Atk Speed Boosts'!$C$137,0)
+IF(AND($A$4="Zeraora",$I$10="Volt Switch",$K$10=TRUE,L4&gt;4,L4&lt;11),'Atk Speed Boosts'!$C$138,0)
+IF(AND($A$4="Zeraora",$I$11="Volt Switch+",$K$11=TRUE,L4&gt;10),'Atk Speed Boosts'!$C$139,0)
+IF(AND($A$4="Zeraora",$I$12="Unite Buff",$K$12=TRUE,L4&gt;8),'Atk Speed Boosts'!$C$140,0)</f>
        <v>35</v>
      </c>
      <c r="M6" s="25">
        <f>IF($G$9=TRUE,'Atk Speed Boosts'!$C$9,0)
+IF($G$10=TRUE,'Atk Speed Boosts'!$C$10,0)+$G$11
+IF(AND($A$4="Absol",$I$9="Feint",$K$9=TRUE,M4&lt;5),'Atk Speed Boosts'!$C$11,0)
+IF(AND($A$4="Absol",$I$10="Night Slash",$K$10=TRUE,M4&gt;4),'Atk Speed Boosts'!$C$12,0)
+IF(AND($A$4="Absol",$I$11="Sucker Punch+",$K$11=TRUE,M4&gt;12),'Atk Speed Boosts'!$C$13,0)
+IF(AND($A$4="Aegislash",$I$9="Sword Stance",$K$9=TRUE,M4&gt;6),'Atk Speed Boosts'!$C$14,0)
+IF(AND($A$4="Aegislash",$I$10="Shield Stance",$K$10=TRUE,M4&gt;6),'Atk Speed Boosts'!$C$15,0)
+IF(AND($A$4="Aegislash",$I$11="Stance Change",$K$11=TRUE,M4&gt;6),'Atk Speed Boosts'!$C$16,0)
+IF(AND($A$4="Azumarill",$I$9="Aqua Tail",$K$9=TRUE,M4&gt;3),'Atk Speed Boosts'!$C$20,0)
+IF(AND($A$4="Blaziken",$I$9="Punch Style",$K$9=TRUE,OR(M4&lt;5,M4&gt;7)),'Atk Speed Boosts'!$C$22,0)
+IF(AND($A$4="Buzzwole",$I$9="Beast Boost Assist",$K$9=TRUE),'Atk Speed Boosts'!$C$24,0)
+IF(AND($A$4="Buzzwole",$I$10="Beast Boost KO",$K$10=TRUE),'Atk Speed Boosts'!$C$25,0)
+IF(AND($A$4="Buzzwole",$I$11="Lunge",$K$11=TRUE,M4&gt;6),'Atk Speed Boosts'!$C$26,0)
+IF(AND($A$4="Ceruledge",$I$9="Take Down",$K$9=TRUE,M4&lt;7),'Atk Speed Boosts'!$C$27,0)
+IF(AND($A$4="Ceruledge",$I$10="Flame Charge",$K$10=TRUE,M4&gt;6),'Atk Speed Boosts'!$C$28,0)
+IF(AND($A$4="Cinderace",$I$9="Blaze",$K$9=TRUE),'Atk Speed Boosts'!$C$33,0)
+IF(AND($A$4="Cinderace",$I$10="Blaze Kick+",$K$10=TRUE,M4&gt;10),'Atk Speed Boosts'!$C$34,0)
+IF(AND($A$4="Cinderace",$I$11="Unite Buff",$K$11=TRUE,M4&gt;8),'Atk Speed Boosts'!$C$35,0)
+IF(AND($A$4="Decidueye",$I$9="Auto Attack",$K$9=TRUE),'Atk Speed Boosts'!$C$41*$L$9,0)
+IF(AND($A$4="Decidueye",$I$10="Leafage",$K$10=TRUE,M4&lt;7),'Atk Speed Boosts'!$C$42,0)
+IF(AND($A$4="Decidueye",$I$11="Razor Leaf",$K$11=TRUE,M4&gt;6),'Atk Speed Boosts'!$C$43+'Atk Speed Boosts'!$D$43*(M4-1),0)
+IF(AND($A$4="Dragapult",$I$9="Quick Attack",$K$9=TRUE,M4&lt;5),'Atk Speed Boosts'!$C$47,0)
+IF(AND($A$4="Dragapult",$I$10="Dragon Dance",$K$10=TRUE,M4&gt;4),'Atk Speed Boosts'!$C$48,0)
+IF(AND($A$4="Dragapult",$I$11="Phantom Force",$K$11=TRUE,M4&gt;4),'Atk Speed Boosts'!$C$49,0)
+IF(AND($A$4="Dragonite",$I$9="Dragon Dance",$K$9=TRUE,M4&gt;4),'Atk Speed Boosts'!$C$50,0)
+IF(AND($A$4="Dragonite",$I$10="Outrage",$K$10=TRUE,M4&gt;7),'Atk Speed Boosts'!$C$51,0)
+IF(AND($A$4="Dragonite",$I$11="Unite Buff",$K$11=TRUE,M4&gt;8),'Atk Speed Boosts'!$C$52,0)
+IF(AND($A$4="Duraludon",$I$9="Flash Cannon",$K$9=TRUE,M4&gt;4),'Atk Speed Boosts'!$C$53-20*$L$9,0)
+IF(AND($A$4="Duraludon",$I$10="Unite Buff",$K$10=TRUE,M4&gt;8),'Atk Speed Boosts'!$C$54,0)
+IF(AND($A$4="Empoleon",$I$9="Aqua Jet",$K$9=TRUE,M4&gt;4),'Atk Speed Boosts'!$C$56,0)
+IF(AND($A$4="Falinks",$I$9="Bulk Up",$K$9=TRUE,M4&lt;6),'Atk Speed Boosts'!$C$58,0)
+IF(AND($A$4="Feraligatr",$I$9="Crunch",$K$9=TRUE,M4&lt;4),'Atk Speed Boosts'!$C$59,0)
+IF(AND($A$4="Feraligatr",$I$9="Unite Buff",$K$9=TRUE,M4&lt;8),'Atk Speed Boosts'!$C$60,0)
+IF(AND($A$4="Garchomp",$I$9="Boosted Attack",$K$9=TRUE),'Atk Speed Boosts'!$C$61+'Atk Speed Boosts'!$D$61*(M4-1),0)
+IF(AND($A$4="Garchomp",$I$10="Sand Attack",$K$10=TRUE,M4&lt;5),'Atk Speed Boosts'!$C$62,0)
+IF(AND($A$4="Glaceon",$I$9="Eevee Bond",$K$9=TRUE),'Atk Speed Boosts'!$C$65,0)
+IF(AND($A$4="Glaceon",$I$10="Ice Shard",$K$10=TRUE,M4&gt;5,M4&lt;12),'Atk Speed Boosts'!$C$66,0)
+IF(AND($A$4="Glaceon",$I$11="Ice Shard+",$K$11=TRUE,M4&gt;11),'Atk Speed Boosts'!$C$67,0)
+IF(AND($A$4="Glaceon",$I$12="Unite Buff",$K$12=TRUE,M4&gt;7),'Atk Speed Boosts'!$C$68,0)
+IF(AND($A$4="Greninja",$I$9="Unite Buff",$K$9=TRUE,M4&gt;8),'Atk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Buff",$K$9=TRUE,M4&gt;8),'Atk Speed Boosts'!$C$78,0)
+IF(AND($A$4="Machamp",$I$9="Bulk Up",$K$9=TRUE,M4&lt;5),'Atk Speed Boosts'!$C$85,0)
+IF(AND($A$4="Machamp",$I$10="Submission",$K$10=TRUE,M4&gt;4,M4&lt;11),'Atk Speed Boosts'!$C$86,0)
+IF(AND($A$4="Machamp",$I$11="Submission+",$K$11=TRUE,M4&gt;10),'Atk Speed Boosts'!$C$87,0)
+IF(AND($A$4="Machamp",$I$12="Unite Buff",$K$12=TRUE,M4&gt;8),'Atk Speed Boosts'!$C$88,0)
+IF(AND($A$4="Meowscarada",$I$9="Hone Claws",$K$9=TRUE,M4&lt;7),'Atk Speed Boosts'!$C$91,0)
+IF(AND($A$4="Meowscarada",$I$10="Trail Blaze",$K$10=TRUE,M4&gt;6),'Atk Speed Boosts'!$C$92,0)
+IF(AND($A$4="Mewtwo Y",$I$9="Pressure",$K$9=TRUE),'Atk Speed Boosts'!$C$97*$L$9,0)
+IF(AND($A$4="Mewtwo Y",$I$10="Mega Evolution",$K$10=TRUE,M4&gt;4),'Atk Speed Boosts'!$C$98,0)
+IF(AND($A$4="Ninetales",$I$9="Aurora Veil",$K$9=TRUE,M4&gt;5),'Atk Speed Boosts'!$C$103,0)
+IF(AND($A$4="Pawmot",$I$9="Fighter Mode",$K$9=TRUE,M4&gt;8),'Atk Speed Boosts'!$C$105*$L$9,0)
+IF(AND($A$4="Pawmot",$I$10="Unite Buff",$K$10=TRUE,M4&gt;8),'Atk Speed Boosts'!$C$105,0)
+IF(AND($A$4="Raichu",$I$9="Stored Power",$K$9=TRUE,M4&gt;4),'Atk Speed Boosts'!$C$110,0)
+IF(AND($A$4="Raichu",$I$10="Unite Buff",$K$10=TRUE,M4&gt;8),'Atk Speed Boosts'!$C$111,0)
+IF(AND($A$4="Tsareena",$I$9="Triple Axel",$K$9=TRUE,M4&gt;4),('Atk Speed Boosts'!$C$126+'Atk Speed Boosts'!$D$126*(M4-1))*$L$9,0)
+IF(AND($A$4="Zacian",$I$9="Metal Claw",$K$9=TRUE,M4&gt;4),'Atk Speed Boosts'!$C$135,0)
+IF(AND($A$4="Zeraora",$I$9="Agility",$K$9=TRUE,M4&lt;5),'Atk Speed Boosts'!$C$137,0)
+IF(AND($A$4="Zeraora",$I$10="Volt Switch",$K$10=TRUE,M4&gt;4,M4&lt;11),'Atk Speed Boosts'!$C$138,0)
+IF(AND($A$4="Zeraora",$I$11="Volt Switch+",$K$11=TRUE,M4&gt;10),'Atk Speed Boosts'!$C$139,0)
+IF(AND($A$4="Zeraora",$I$12="Unite Buff",$K$12=TRUE,M4&gt;8),'Atk Speed Boosts'!$C$140,0)</f>
        <v>35</v>
      </c>
      <c r="N6" s="25">
        <f>IF($G$9=TRUE,'Atk Speed Boosts'!$C$9,0)
+IF($G$10=TRUE,'Atk Speed Boosts'!$C$10,0)+$G$11
+IF(AND($A$4="Absol",$I$9="Feint",$K$9=TRUE,N4&lt;5),'Atk Speed Boosts'!$C$11,0)
+IF(AND($A$4="Absol",$I$10="Night Slash",$K$10=TRUE,N4&gt;4),'Atk Speed Boosts'!$C$12,0)
+IF(AND($A$4="Absol",$I$11="Sucker Punch+",$K$11=TRUE,N4&gt;12),'Atk Speed Boosts'!$C$13,0)
+IF(AND($A$4="Aegislash",$I$9="Sword Stance",$K$9=TRUE,N4&gt;6),'Atk Speed Boosts'!$C$14,0)
+IF(AND($A$4="Aegislash",$I$10="Shield Stance",$K$10=TRUE,N4&gt;6),'Atk Speed Boosts'!$C$15,0)
+IF(AND($A$4="Aegislash",$I$11="Stance Change",$K$11=TRUE,N4&gt;6),'Atk Speed Boosts'!$C$16,0)
+IF(AND($A$4="Azumarill",$I$9="Aqua Tail",$K$9=TRUE,N4&gt;3),'Atk Speed Boosts'!$C$20,0)
+IF(AND($A$4="Blaziken",$I$9="Punch Style",$K$9=TRUE,OR(N4&lt;5,N4&gt;7)),'Atk Speed Boosts'!$C$22,0)
+IF(AND($A$4="Buzzwole",$I$9="Beast Boost Assist",$K$9=TRUE),'Atk Speed Boosts'!$C$24,0)
+IF(AND($A$4="Buzzwole",$I$10="Beast Boost KO",$K$10=TRUE),'Atk Speed Boosts'!$C$25,0)
+IF(AND($A$4="Buzzwole",$I$11="Lunge",$K$11=TRUE,N4&gt;6),'Atk Speed Boosts'!$C$26,0)
+IF(AND($A$4="Ceruledge",$I$9="Take Down",$K$9=TRUE,N4&lt;7),'Atk Speed Boosts'!$C$27,0)
+IF(AND($A$4="Ceruledge",$I$10="Flame Charge",$K$10=TRUE,N4&gt;6),'Atk Speed Boosts'!$C$28,0)
+IF(AND($A$4="Cinderace",$I$9="Blaze",$K$9=TRUE),'Atk Speed Boosts'!$C$33,0)
+IF(AND($A$4="Cinderace",$I$10="Blaze Kick+",$K$10=TRUE,N4&gt;10),'Atk Speed Boosts'!$C$34,0)
+IF(AND($A$4="Cinderace",$I$11="Unite Buff",$K$11=TRUE,N4&gt;8),'Atk Speed Boosts'!$C$35,0)
+IF(AND($A$4="Decidueye",$I$9="Auto Attack",$K$9=TRUE),'Atk Speed Boosts'!$C$41*$L$9,0)
+IF(AND($A$4="Decidueye",$I$10="Leafage",$K$10=TRUE,N4&lt;7),'Atk Speed Boosts'!$C$42,0)
+IF(AND($A$4="Decidueye",$I$11="Razor Leaf",$K$11=TRUE,N4&gt;6),'Atk Speed Boosts'!$C$43+'Atk Speed Boosts'!$D$43*(N4-1),0)
+IF(AND($A$4="Dragapult",$I$9="Quick Attack",$K$9=TRUE,N4&lt;5),'Atk Speed Boosts'!$C$47,0)
+IF(AND($A$4="Dragapult",$I$10="Dragon Dance",$K$10=TRUE,N4&gt;4),'Atk Speed Boosts'!$C$48,0)
+IF(AND($A$4="Dragapult",$I$11="Phantom Force",$K$11=TRUE,N4&gt;4),'Atk Speed Boosts'!$C$49,0)
+IF(AND($A$4="Dragonite",$I$9="Dragon Dance",$K$9=TRUE,N4&gt;4),'Atk Speed Boosts'!$C$50,0)
+IF(AND($A$4="Dragonite",$I$10="Outrage",$K$10=TRUE,N4&gt;7),'Atk Speed Boosts'!$C$51,0)
+IF(AND($A$4="Dragonite",$I$11="Unite Buff",$K$11=TRUE,N4&gt;8),'Atk Speed Boosts'!$C$52,0)
+IF(AND($A$4="Duraludon",$I$9="Flash Cannon",$K$9=TRUE,N4&gt;4),'Atk Speed Boosts'!$C$53-20*$L$9,0)
+IF(AND($A$4="Duraludon",$I$10="Unite Buff",$K$10=TRUE,N4&gt;8),'Atk Speed Boosts'!$C$54,0)
+IF(AND($A$4="Empoleon",$I$9="Aqua Jet",$K$9=TRUE,N4&gt;4),'Atk Speed Boosts'!$C$56,0)
+IF(AND($A$4="Falinks",$I$9="Bulk Up",$K$9=TRUE,N4&lt;6),'Atk Speed Boosts'!$C$58,0)
+IF(AND($A$4="Feraligatr",$I$9="Crunch",$K$9=TRUE,N4&lt;4),'Atk Speed Boosts'!$C$59,0)
+IF(AND($A$4="Feraligatr",$I$9="Unite Buff",$K$9=TRUE,N4&lt;8),'Atk Speed Boosts'!$C$60,0)
+IF(AND($A$4="Garchomp",$I$9="Boosted Attack",$K$9=TRUE),'Atk Speed Boosts'!$C$61+'Atk Speed Boosts'!$D$61*(N4-1),0)
+IF(AND($A$4="Garchomp",$I$10="Sand Attack",$K$10=TRUE,N4&lt;5),'Atk Speed Boosts'!$C$62,0)
+IF(AND($A$4="Glaceon",$I$9="Eevee Bond",$K$9=TRUE),'Atk Speed Boosts'!$C$65,0)
+IF(AND($A$4="Glaceon",$I$10="Ice Shard",$K$10=TRUE,N4&gt;5,N4&lt;12),'Atk Speed Boosts'!$C$66,0)
+IF(AND($A$4="Glaceon",$I$11="Ice Shard+",$K$11=TRUE,N4&gt;11),'Atk Speed Boosts'!$C$67,0)
+IF(AND($A$4="Glaceon",$I$12="Unite Buff",$K$12=TRUE,N4&gt;7),'Atk Speed Boosts'!$C$68,0)
+IF(AND($A$4="Greninja",$I$9="Unite Buff",$K$9=TRUE,N4&gt;8),'Atk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Buff",$K$9=TRUE,N4&gt;8),'Atk Speed Boosts'!$C$78,0)
+IF(AND($A$4="Machamp",$I$9="Bulk Up",$K$9=TRUE,N4&lt;5),'Atk Speed Boosts'!$C$85,0)
+IF(AND($A$4="Machamp",$I$10="Submission",$K$10=TRUE,N4&gt;4,N4&lt;11),'Atk Speed Boosts'!$C$86,0)
+IF(AND($A$4="Machamp",$I$11="Submission+",$K$11=TRUE,N4&gt;10),'Atk Speed Boosts'!$C$87,0)
+IF(AND($A$4="Machamp",$I$12="Unite Buff",$K$12=TRUE,N4&gt;8),'Atk Speed Boosts'!$C$88,0)
+IF(AND($A$4="Meowscarada",$I$9="Hone Claws",$K$9=TRUE,N4&lt;7),'Atk Speed Boosts'!$C$91,0)
+IF(AND($A$4="Meowscarada",$I$10="Trail Blaze",$K$10=TRUE,N4&gt;6),'Atk Speed Boosts'!$C$92,0)
+IF(AND($A$4="Mewtwo Y",$I$9="Pressure",$K$9=TRUE),'Atk Speed Boosts'!$C$97*$L$9,0)
+IF(AND($A$4="Mewtwo Y",$I$10="Mega Evolution",$K$10=TRUE,N4&gt;4),'Atk Speed Boosts'!$C$98,0)
+IF(AND($A$4="Ninetales",$I$9="Aurora Veil",$K$9=TRUE,N4&gt;5),'Atk Speed Boosts'!$C$103,0)
+IF(AND($A$4="Pawmot",$I$9="Fighter Mode",$K$9=TRUE,N4&gt;8),'Atk Speed Boosts'!$C$105*$L$9,0)
+IF(AND($A$4="Pawmot",$I$10="Unite Buff",$K$10=TRUE,N4&gt;8),'Atk Speed Boosts'!$C$105,0)
+IF(AND($A$4="Raichu",$I$9="Stored Power",$K$9=TRUE,N4&gt;4),'Atk Speed Boosts'!$C$110,0)
+IF(AND($A$4="Raichu",$I$10="Unite Buff",$K$10=TRUE,N4&gt;8),'Atk Speed Boosts'!$C$111,0)
+IF(AND($A$4="Tsareena",$I$9="Triple Axel",$K$9=TRUE,N4&gt;4),('Atk Speed Boosts'!$C$126+'Atk Speed Boosts'!$D$126*(N4-1))*$L$9,0)
+IF(AND($A$4="Zacian",$I$9="Metal Claw",$K$9=TRUE,N4&gt;4),'Atk Speed Boosts'!$C$135,0)
+IF(AND($A$4="Zeraora",$I$9="Agility",$K$9=TRUE,N4&lt;5),'Atk Speed Boosts'!$C$137,0)
+IF(AND($A$4="Zeraora",$I$10="Volt Switch",$K$10=TRUE,N4&gt;4,N4&lt;11),'Atk Speed Boosts'!$C$138,0)
+IF(AND($A$4="Zeraora",$I$11="Volt Switch+",$K$11=TRUE,N4&gt;10),'Atk Speed Boosts'!$C$139,0)
+IF(AND($A$4="Zeraora",$I$12="Unite Buff",$K$12=TRUE,N4&gt;8),'Atk Speed Boosts'!$C$140,0)</f>
        <v>35</v>
      </c>
      <c r="O6" s="25">
        <f>IF($G$9=TRUE,'Atk Speed Boosts'!$C$9,0)
+IF($G$10=TRUE,'Atk Speed Boosts'!$C$10,0)+$G$11
+IF(AND($A$4="Absol",$I$9="Feint",$K$9=TRUE,O4&lt;5),'Atk Speed Boosts'!$C$11,0)
+IF(AND($A$4="Absol",$I$10="Night Slash",$K$10=TRUE,O4&gt;4),'Atk Speed Boosts'!$C$12,0)
+IF(AND($A$4="Absol",$I$11="Sucker Punch+",$K$11=TRUE,O4&gt;12),'Atk Speed Boosts'!$C$13,0)
+IF(AND($A$4="Aegislash",$I$9="Sword Stance",$K$9=TRUE,O4&gt;6),'Atk Speed Boosts'!$C$14,0)
+IF(AND($A$4="Aegislash",$I$10="Shield Stance",$K$10=TRUE,O4&gt;6),'Atk Speed Boosts'!$C$15,0)
+IF(AND($A$4="Aegislash",$I$11="Stance Change",$K$11=TRUE,O4&gt;6),'Atk Speed Boosts'!$C$16,0)
+IF(AND($A$4="Azumarill",$I$9="Aqua Tail",$K$9=TRUE,O4&gt;3),'Atk Speed Boosts'!$C$20,0)
+IF(AND($A$4="Blaziken",$I$9="Punch Style",$K$9=TRUE,OR(O4&lt;5,O4&gt;7)),'Atk Speed Boosts'!$C$22,0)
+IF(AND($A$4="Buzzwole",$I$9="Beast Boost Assist",$K$9=TRUE),'Atk Speed Boosts'!$C$24,0)
+IF(AND($A$4="Buzzwole",$I$10="Beast Boost KO",$K$10=TRUE),'Atk Speed Boosts'!$C$25,0)
+IF(AND($A$4="Buzzwole",$I$11="Lunge",$K$11=TRUE,O4&gt;6),'Atk Speed Boosts'!$C$26,0)
+IF(AND($A$4="Ceruledge",$I$9="Take Down",$K$9=TRUE,O4&lt;7),'Atk Speed Boosts'!$C$27,0)
+IF(AND($A$4="Ceruledge",$I$10="Flame Charge",$K$10=TRUE,O4&gt;6),'Atk Speed Boosts'!$C$28,0)
+IF(AND($A$4="Cinderace",$I$9="Blaze",$K$9=TRUE),'Atk Speed Boosts'!$C$33,0)
+IF(AND($A$4="Cinderace",$I$10="Blaze Kick+",$K$10=TRUE,O4&gt;10),'Atk Speed Boosts'!$C$34,0)
+IF(AND($A$4="Cinderace",$I$11="Unite Buff",$K$11=TRUE,O4&gt;8),'Atk Speed Boosts'!$C$35,0)
+IF(AND($A$4="Decidueye",$I$9="Auto Attack",$K$9=TRUE),'Atk Speed Boosts'!$C$41*$L$9,0)
+IF(AND($A$4="Decidueye",$I$10="Leafage",$K$10=TRUE,O4&lt;7),'Atk Speed Boosts'!$C$42,0)
+IF(AND($A$4="Decidueye",$I$11="Razor Leaf",$K$11=TRUE,O4&gt;6),'Atk Speed Boosts'!$C$43+'Atk Speed Boosts'!$D$43*(O4-1),0)
+IF(AND($A$4="Dragapult",$I$9="Quick Attack",$K$9=TRUE,O4&lt;5),'Atk Speed Boosts'!$C$47,0)
+IF(AND($A$4="Dragapult",$I$10="Dragon Dance",$K$10=TRUE,O4&gt;4),'Atk Speed Boosts'!$C$48,0)
+IF(AND($A$4="Dragapult",$I$11="Phantom Force",$K$11=TRUE,O4&gt;4),'Atk Speed Boosts'!$C$49,0)
+IF(AND($A$4="Dragonite",$I$9="Dragon Dance",$K$9=TRUE,O4&gt;4),'Atk Speed Boosts'!$C$50,0)
+IF(AND($A$4="Dragonite",$I$10="Outrage",$K$10=TRUE,O4&gt;7),'Atk Speed Boosts'!$C$51,0)
+IF(AND($A$4="Dragonite",$I$11="Unite Buff",$K$11=TRUE,O4&gt;8),'Atk Speed Boosts'!$C$52,0)
+IF(AND($A$4="Duraludon",$I$9="Flash Cannon",$K$9=TRUE,O4&gt;4),'Atk Speed Boosts'!$C$53-20*$L$9,0)
+IF(AND($A$4="Duraludon",$I$10="Unite Buff",$K$10=TRUE,O4&gt;8),'Atk Speed Boosts'!$C$54,0)
+IF(AND($A$4="Empoleon",$I$9="Aqua Jet",$K$9=TRUE,O4&gt;4),'Atk Speed Boosts'!$C$56,0)
+IF(AND($A$4="Falinks",$I$9="Bulk Up",$K$9=TRUE,O4&lt;6),'Atk Speed Boosts'!$C$58,0)
+IF(AND($A$4="Feraligatr",$I$9="Crunch",$K$9=TRUE,O4&lt;4),'Atk Speed Boosts'!$C$59,0)
+IF(AND($A$4="Feraligatr",$I$9="Unite Buff",$K$9=TRUE,O4&lt;8),'Atk Speed Boosts'!$C$60,0)
+IF(AND($A$4="Garchomp",$I$9="Boosted Attack",$K$9=TRUE),'Atk Speed Boosts'!$C$61+'Atk Speed Boosts'!$D$61*(O4-1),0)
+IF(AND($A$4="Garchomp",$I$10="Sand Attack",$K$10=TRUE,O4&lt;5),'Atk Speed Boosts'!$C$62,0)
+IF(AND($A$4="Glaceon",$I$9="Eevee Bond",$K$9=TRUE),'Atk Speed Boosts'!$C$65,0)
+IF(AND($A$4="Glaceon",$I$10="Ice Shard",$K$10=TRUE,O4&gt;5,O4&lt;12),'Atk Speed Boosts'!$C$66,0)
+IF(AND($A$4="Glaceon",$I$11="Ice Shard+",$K$11=TRUE,O4&gt;11),'Atk Speed Boosts'!$C$67,0)
+IF(AND($A$4="Glaceon",$I$12="Unite Buff",$K$12=TRUE,O4&gt;7),'Atk Speed Boosts'!$C$68,0)
+IF(AND($A$4="Greninja",$I$9="Unite Buff",$K$9=TRUE,O4&gt;8),'Atk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Buff",$K$9=TRUE,O4&gt;8),'Atk Speed Boosts'!$C$78,0)
+IF(AND($A$4="Machamp",$I$9="Bulk Up",$K$9=TRUE,O4&lt;5),'Atk Speed Boosts'!$C$85,0)
+IF(AND($A$4="Machamp",$I$10="Submission",$K$10=TRUE,O4&gt;4,O4&lt;11),'Atk Speed Boosts'!$C$86,0)
+IF(AND($A$4="Machamp",$I$11="Submission+",$K$11=TRUE,O4&gt;10),'Atk Speed Boosts'!$C$87,0)
+IF(AND($A$4="Machamp",$I$12="Unite Buff",$K$12=TRUE,O4&gt;8),'Atk Speed Boosts'!$C$88,0)
+IF(AND($A$4="Meowscarada",$I$9="Hone Claws",$K$9=TRUE,O4&lt;7),'Atk Speed Boosts'!$C$91,0)
+IF(AND($A$4="Meowscarada",$I$10="Trail Blaze",$K$10=TRUE,O4&gt;6),'Atk Speed Boosts'!$C$92,0)
+IF(AND($A$4="Mewtwo Y",$I$9="Pressure",$K$9=TRUE),'Atk Speed Boosts'!$C$97*$L$9,0)
+IF(AND($A$4="Mewtwo Y",$I$10="Mega Evolution",$K$10=TRUE,O4&gt;4),'Atk Speed Boosts'!$C$98,0)
+IF(AND($A$4="Ninetales",$I$9="Aurora Veil",$K$9=TRUE,O4&gt;5),'Atk Speed Boosts'!$C$103,0)
+IF(AND($A$4="Pawmot",$I$9="Fighter Mode",$K$9=TRUE,O4&gt;8),'Atk Speed Boosts'!$C$105*$L$9,0)
+IF(AND($A$4="Pawmot",$I$10="Unite Buff",$K$10=TRUE,O4&gt;8),'Atk Speed Boosts'!$C$105,0)
+IF(AND($A$4="Raichu",$I$9="Stored Power",$K$9=TRUE,O4&gt;4),'Atk Speed Boosts'!$C$110,0)
+IF(AND($A$4="Raichu",$I$10="Unite Buff",$K$10=TRUE,O4&gt;8),'Atk Speed Boosts'!$C$111,0)
+IF(AND($A$4="Tsareena",$I$9="Triple Axel",$K$9=TRUE,O4&gt;4),('Atk Speed Boosts'!$C$126+'Atk Speed Boosts'!$D$126*(O4-1))*$L$9,0)
+IF(AND($A$4="Zacian",$I$9="Metal Claw",$K$9=TRUE,O4&gt;4),'Atk Speed Boosts'!$C$135,0)
+IF(AND($A$4="Zeraora",$I$9="Agility",$K$9=TRUE,O4&lt;5),'Atk Speed Boosts'!$C$137,0)
+IF(AND($A$4="Zeraora",$I$10="Volt Switch",$K$10=TRUE,O4&gt;4,O4&lt;11),'Atk Speed Boosts'!$C$138,0)
+IF(AND($A$4="Zeraora",$I$11="Volt Switch+",$K$11=TRUE,O4&gt;10),'Atk Speed Boosts'!$C$139,0)
+IF(AND($A$4="Zeraora",$I$12="Unite Buff",$K$12=TRUE,O4&gt;8),'Atk Speed Boosts'!$C$140,0)</f>
        <v>35</v>
      </c>
      <c r="P6" s="25">
        <f>IF($G$9=TRUE,'Atk Speed Boosts'!$C$9,0)
+IF($G$10=TRUE,'Atk Speed Boosts'!$C$10,0)+$G$11
+IF(AND($A$4="Absol",$I$9="Feint",$K$9=TRUE,P4&lt;5),'Atk Speed Boosts'!$C$11,0)
+IF(AND($A$4="Absol",$I$10="Night Slash",$K$10=TRUE,P4&gt;4),'Atk Speed Boosts'!$C$12,0)
+IF(AND($A$4="Absol",$I$11="Sucker Punch+",$K$11=TRUE,P4&gt;12),'Atk Speed Boosts'!$C$13,0)
+IF(AND($A$4="Aegislash",$I$9="Sword Stance",$K$9=TRUE,P4&gt;6),'Atk Speed Boosts'!$C$14,0)
+IF(AND($A$4="Aegislash",$I$10="Shield Stance",$K$10=TRUE,P4&gt;6),'Atk Speed Boosts'!$C$15,0)
+IF(AND($A$4="Aegislash",$I$11="Stance Change",$K$11=TRUE,P4&gt;6),'Atk Speed Boosts'!$C$16,0)
+IF(AND($A$4="Azumarill",$I$9="Aqua Tail",$K$9=TRUE,P4&gt;3),'Atk Speed Boosts'!$C$20,0)
+IF(AND($A$4="Blaziken",$I$9="Punch Style",$K$9=TRUE,OR(P4&lt;5,P4&gt;7)),'Atk Speed Boosts'!$C$22,0)
+IF(AND($A$4="Buzzwole",$I$9="Beast Boost Assist",$K$9=TRUE),'Atk Speed Boosts'!$C$24,0)
+IF(AND($A$4="Buzzwole",$I$10="Beast Boost KO",$K$10=TRUE),'Atk Speed Boosts'!$C$25,0)
+IF(AND($A$4="Buzzwole",$I$11="Lunge",$K$11=TRUE,P4&gt;6),'Atk Speed Boosts'!$C$26,0)
+IF(AND($A$4="Ceruledge",$I$9="Take Down",$K$9=TRUE,P4&lt;7),'Atk Speed Boosts'!$C$27,0)
+IF(AND($A$4="Ceruledge",$I$10="Flame Charge",$K$10=TRUE,P4&gt;6),'Atk Speed Boosts'!$C$28,0)
+IF(AND($A$4="Cinderace",$I$9="Blaze",$K$9=TRUE),'Atk Speed Boosts'!$C$33,0)
+IF(AND($A$4="Cinderace",$I$10="Blaze Kick+",$K$10=TRUE,P4&gt;10),'Atk Speed Boosts'!$C$34,0)
+IF(AND($A$4="Cinderace",$I$11="Unite Buff",$K$11=TRUE,P4&gt;8),'Atk Speed Boosts'!$C$35,0)
+IF(AND($A$4="Decidueye",$I$9="Auto Attack",$K$9=TRUE),'Atk Speed Boosts'!$C$41*$L$9,0)
+IF(AND($A$4="Decidueye",$I$10="Leafage",$K$10=TRUE,P4&lt;7),'Atk Speed Boosts'!$C$42,0)
+IF(AND($A$4="Decidueye",$I$11="Razor Leaf",$K$11=TRUE,P4&gt;6),'Atk Speed Boosts'!$C$43+'Atk Speed Boosts'!$D$43*(P4-1),0)
+IF(AND($A$4="Dragapult",$I$9="Quick Attack",$K$9=TRUE,P4&lt;5),'Atk Speed Boosts'!$C$47,0)
+IF(AND($A$4="Dragapult",$I$10="Dragon Dance",$K$10=TRUE,P4&gt;4),'Atk Speed Boosts'!$C$48,0)
+IF(AND($A$4="Dragapult",$I$11="Phantom Force",$K$11=TRUE,P4&gt;4),'Atk Speed Boosts'!$C$49,0)
+IF(AND($A$4="Dragonite",$I$9="Dragon Dance",$K$9=TRUE,P4&gt;4),'Atk Speed Boosts'!$C$50,0)
+IF(AND($A$4="Dragonite",$I$10="Outrage",$K$10=TRUE,P4&gt;7),'Atk Speed Boosts'!$C$51,0)
+IF(AND($A$4="Dragonite",$I$11="Unite Buff",$K$11=TRUE,P4&gt;8),'Atk Speed Boosts'!$C$52,0)
+IF(AND($A$4="Duraludon",$I$9="Flash Cannon",$K$9=TRUE,P4&gt;4),'Atk Speed Boosts'!$C$53-20*$L$9,0)
+IF(AND($A$4="Duraludon",$I$10="Unite Buff",$K$10=TRUE,P4&gt;8),'Atk Speed Boosts'!$C$54,0)
+IF(AND($A$4="Empoleon",$I$9="Aqua Jet",$K$9=TRUE,P4&gt;4),'Atk Speed Boosts'!$C$56,0)
+IF(AND($A$4="Falinks",$I$9="Bulk Up",$K$9=TRUE,P4&lt;6),'Atk Speed Boosts'!$C$58,0)
+IF(AND($A$4="Feraligatr",$I$9="Crunch",$K$9=TRUE,P4&lt;4),'Atk Speed Boosts'!$C$59,0)
+IF(AND($A$4="Feraligatr",$I$9="Unite Buff",$K$9=TRUE,P4&lt;8),'Atk Speed Boosts'!$C$60,0)
+IF(AND($A$4="Garchomp",$I$9="Boosted Attack",$K$9=TRUE),'Atk Speed Boosts'!$C$61+'Atk Speed Boosts'!$D$61*(P4-1),0)
+IF(AND($A$4="Garchomp",$I$10="Sand Attack",$K$10=TRUE,P4&lt;5),'Atk Speed Boosts'!$C$62,0)
+IF(AND($A$4="Glaceon",$I$9="Eevee Bond",$K$9=TRUE),'Atk Speed Boosts'!$C$65,0)
+IF(AND($A$4="Glaceon",$I$10="Ice Shard",$K$10=TRUE,P4&gt;5,P4&lt;12),'Atk Speed Boosts'!$C$66,0)
+IF(AND($A$4="Glaceon",$I$11="Ice Shard+",$K$11=TRUE,P4&gt;11),'Atk Speed Boosts'!$C$67,0)
+IF(AND($A$4="Glaceon",$I$12="Unite Buff",$K$12=TRUE,P4&gt;7),'Atk Speed Boosts'!$C$68,0)
+IF(AND($A$4="Greninja",$I$9="Unite Buff",$K$9=TRUE,P4&gt;8),'Atk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Buff",$K$9=TRUE,P4&gt;8),'Atk Speed Boosts'!$C$78,0)
+IF(AND($A$4="Machamp",$I$9="Bulk Up",$K$9=TRUE,P4&lt;5),'Atk Speed Boosts'!$C$85,0)
+IF(AND($A$4="Machamp",$I$10="Submission",$K$10=TRUE,P4&gt;4,P4&lt;11),'Atk Speed Boosts'!$C$86,0)
+IF(AND($A$4="Machamp",$I$11="Submission+",$K$11=TRUE,P4&gt;10),'Atk Speed Boosts'!$C$87,0)
+IF(AND($A$4="Machamp",$I$12="Unite Buff",$K$12=TRUE,P4&gt;8),'Atk Speed Boosts'!$C$88,0)
+IF(AND($A$4="Meowscarada",$I$9="Hone Claws",$K$9=TRUE,P4&lt;7),'Atk Speed Boosts'!$C$91,0)
+IF(AND($A$4="Meowscarada",$I$10="Trail Blaze",$K$10=TRUE,P4&gt;6),'Atk Speed Boosts'!$C$92,0)
+IF(AND($A$4="Mewtwo Y",$I$9="Pressure",$K$9=TRUE),'Atk Speed Boosts'!$C$97*$L$9,0)
+IF(AND($A$4="Mewtwo Y",$I$10="Mega Evolution",$K$10=TRUE,P4&gt;4),'Atk Speed Boosts'!$C$98,0)
+IF(AND($A$4="Ninetales",$I$9="Aurora Veil",$K$9=TRUE,P4&gt;5),'Atk Speed Boosts'!$C$103,0)
+IF(AND($A$4="Pawmot",$I$9="Fighter Mode",$K$9=TRUE,P4&gt;8),'Atk Speed Boosts'!$C$105*$L$9,0)
+IF(AND($A$4="Pawmot",$I$10="Unite Buff",$K$10=TRUE,P4&gt;8),'Atk Speed Boosts'!$C$105,0)
+IF(AND($A$4="Raichu",$I$9="Stored Power",$K$9=TRUE,P4&gt;4),'Atk Speed Boosts'!$C$110,0)
+IF(AND($A$4="Raichu",$I$10="Unite Buff",$K$10=TRUE,P4&gt;8),'Atk Speed Boosts'!$C$111,0)
+IF(AND($A$4="Tsareena",$I$9="Triple Axel",$K$9=TRUE,P4&gt;4),('Atk Speed Boosts'!$C$126+'Atk Speed Boosts'!$D$126*(P4-1))*$L$9,0)
+IF(AND($A$4="Zacian",$I$9="Metal Claw",$K$9=TRUE,P4&gt;4),'Atk Speed Boosts'!$C$135,0)
+IF(AND($A$4="Zeraora",$I$9="Agility",$K$9=TRUE,P4&lt;5),'Atk Speed Boosts'!$C$137,0)
+IF(AND($A$4="Zeraora",$I$10="Volt Switch",$K$10=TRUE,P4&gt;4,P4&lt;11),'Atk Speed Boosts'!$C$138,0)
+IF(AND($A$4="Zeraora",$I$11="Volt Switch+",$K$11=TRUE,P4&gt;10),'Atk Speed Boosts'!$C$139,0)
+IF(AND($A$4="Zeraora",$I$12="Unite Buff",$K$12=TRUE,P4&gt;8),'Atk Speed Boosts'!$C$140,0)</f>
        <v>35</v>
      </c>
      <c r="Q6" s="5"/>
      <c r="U6" s="5"/>
      <c r="V6" s="5"/>
    </row>
    <row r="7">
      <c r="A7" s="14" t="s">
        <v>175</v>
      </c>
      <c r="B7" s="26">
        <f t="shared" ref="B7:P7" si="1">$G$12</f>
        <v>0</v>
      </c>
      <c r="C7" s="26">
        <f t="shared" si="1"/>
        <v>0</v>
      </c>
      <c r="D7" s="26">
        <f t="shared" si="1"/>
        <v>0</v>
      </c>
      <c r="E7" s="26">
        <f t="shared" si="1"/>
        <v>0</v>
      </c>
      <c r="F7" s="26">
        <f t="shared" si="1"/>
        <v>0</v>
      </c>
      <c r="G7" s="26">
        <f t="shared" si="1"/>
        <v>0</v>
      </c>
      <c r="H7" s="26">
        <f t="shared" si="1"/>
        <v>0</v>
      </c>
      <c r="I7" s="26">
        <f t="shared" si="1"/>
        <v>0</v>
      </c>
      <c r="J7" s="26">
        <f t="shared" si="1"/>
        <v>0</v>
      </c>
      <c r="K7" s="26">
        <f t="shared" si="1"/>
        <v>0</v>
      </c>
      <c r="L7" s="26">
        <f t="shared" si="1"/>
        <v>0</v>
      </c>
      <c r="M7" s="26">
        <f t="shared" si="1"/>
        <v>0</v>
      </c>
      <c r="N7" s="26">
        <f t="shared" si="1"/>
        <v>0</v>
      </c>
      <c r="O7" s="26">
        <f t="shared" si="1"/>
        <v>0</v>
      </c>
      <c r="P7" s="26">
        <f t="shared" si="1"/>
        <v>0</v>
      </c>
      <c r="Q7" s="5"/>
      <c r="U7" s="5"/>
      <c r="V7" s="5"/>
    </row>
    <row r="8" ht="7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27"/>
      <c r="L8" s="27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28" t="s">
        <v>176</v>
      </c>
      <c r="B9" s="28" t="s">
        <v>177</v>
      </c>
      <c r="C9" s="28" t="s">
        <v>178</v>
      </c>
      <c r="D9" s="29" t="s">
        <v>179</v>
      </c>
      <c r="E9" s="30" t="s">
        <v>21</v>
      </c>
      <c r="F9" s="31"/>
      <c r="G9" s="32" t="b">
        <v>0</v>
      </c>
      <c r="H9" s="33" t="s">
        <v>180</v>
      </c>
      <c r="I9" s="34" t="str">
        <f>IFERROR(__xludf.DUMMYFUNCTION("FILTER('Atk Speed Boosts'!B:B,'Atk Speed Boosts'!A:A=A4)"),"Pressure")</f>
        <v>Pressure</v>
      </c>
      <c r="J9" s="31"/>
      <c r="K9" s="35" t="b">
        <v>0</v>
      </c>
      <c r="L9" s="32">
        <v>0.0</v>
      </c>
      <c r="M9" s="5"/>
      <c r="N9" s="36" t="str">
        <f>IF($A$4="Charizard","Charizard's auto attack speed is locked to 76 Frames","") &amp; IF($A$4="Charizard [Mega X]","Charizard's auto attack speed is locked to 76 Frames","") &amp; IF($A$4="Charizard [Mega Y]","Charizard's auto attack speed is locked to 76 Frames","")</f>
        <v/>
      </c>
      <c r="O9" s="31"/>
      <c r="P9" s="37"/>
      <c r="Q9" s="5"/>
      <c r="R9" s="5"/>
      <c r="S9" s="5"/>
      <c r="T9" s="5"/>
      <c r="U9" s="5"/>
      <c r="V9" s="5"/>
    </row>
    <row r="10">
      <c r="A10" s="38" t="s">
        <v>1</v>
      </c>
      <c r="B10" s="39" t="b">
        <v>0</v>
      </c>
      <c r="C10" s="40" t="b">
        <v>0</v>
      </c>
      <c r="D10" s="41"/>
      <c r="E10" s="42" t="s">
        <v>23</v>
      </c>
      <c r="G10" s="43" t="b">
        <v>0</v>
      </c>
      <c r="I10" s="44" t="str">
        <f>IFERROR(__xludf.DUMMYFUNCTION("""COMPUTED_VALUE"""),"Mega Evolution")</f>
        <v>Mega Evolution</v>
      </c>
      <c r="K10" s="45" t="b">
        <v>1</v>
      </c>
      <c r="L10" s="46">
        <v>0.0</v>
      </c>
      <c r="M10" s="5"/>
      <c r="N10" s="47"/>
      <c r="P10" s="48"/>
      <c r="Q10" s="5"/>
      <c r="R10" s="5"/>
      <c r="S10" s="5"/>
      <c r="T10" s="5"/>
      <c r="U10" s="5"/>
      <c r="V10" s="5"/>
    </row>
    <row r="11">
      <c r="A11" s="38" t="s">
        <v>3</v>
      </c>
      <c r="B11" s="49" t="b">
        <v>1</v>
      </c>
      <c r="C11" s="40" t="b">
        <v>1</v>
      </c>
      <c r="D11" s="41"/>
      <c r="E11" s="50" t="s">
        <v>181</v>
      </c>
      <c r="G11" s="51">
        <v>0.0</v>
      </c>
      <c r="I11" s="44"/>
      <c r="K11" s="45" t="b">
        <v>0</v>
      </c>
      <c r="L11" s="46">
        <v>0.0</v>
      </c>
      <c r="M11" s="5"/>
      <c r="N11" s="47"/>
      <c r="P11" s="48"/>
      <c r="Q11" s="5"/>
      <c r="R11" s="5"/>
      <c r="S11" s="5"/>
      <c r="T11" s="5"/>
      <c r="U11" s="5"/>
      <c r="V11" s="5"/>
    </row>
    <row r="12">
      <c r="A12" s="38" t="s">
        <v>8</v>
      </c>
      <c r="B12" s="49" t="b">
        <v>0</v>
      </c>
      <c r="C12" s="40" t="b">
        <v>1</v>
      </c>
      <c r="D12" s="41"/>
      <c r="E12" s="50" t="s">
        <v>182</v>
      </c>
      <c r="G12" s="52">
        <v>0.0</v>
      </c>
      <c r="I12" s="44"/>
      <c r="K12" s="45" t="b">
        <v>0</v>
      </c>
      <c r="L12" s="46">
        <v>0.0</v>
      </c>
      <c r="M12" s="5"/>
      <c r="N12" s="47"/>
      <c r="P12" s="48"/>
      <c r="Q12" s="5"/>
      <c r="R12" s="5"/>
      <c r="S12" s="5"/>
      <c r="T12" s="5"/>
      <c r="U12" s="5"/>
      <c r="V12" s="5"/>
    </row>
    <row r="13">
      <c r="A13" s="38" t="s">
        <v>183</v>
      </c>
      <c r="B13" s="49" t="b">
        <v>0</v>
      </c>
      <c r="C13" s="40" t="b">
        <v>0</v>
      </c>
      <c r="D13" s="41"/>
      <c r="E13" s="53"/>
      <c r="G13" s="54"/>
      <c r="I13" s="44"/>
      <c r="K13" s="45" t="b">
        <v>0</v>
      </c>
      <c r="L13" s="46">
        <v>0.0</v>
      </c>
      <c r="M13" s="5"/>
      <c r="N13" s="47"/>
      <c r="P13" s="48"/>
      <c r="Q13" s="5"/>
      <c r="R13" s="5"/>
      <c r="S13" s="5"/>
      <c r="T13" s="5"/>
      <c r="U13" s="5"/>
      <c r="V13" s="5"/>
    </row>
    <row r="14">
      <c r="A14" s="38" t="s">
        <v>15</v>
      </c>
      <c r="B14" s="55" t="b">
        <v>0</v>
      </c>
      <c r="C14" s="40" t="b">
        <v>0</v>
      </c>
      <c r="D14" s="41"/>
      <c r="E14" s="53"/>
      <c r="G14" s="54"/>
      <c r="I14" s="44"/>
      <c r="K14" s="45" t="b">
        <v>0</v>
      </c>
      <c r="L14" s="46">
        <v>0.0</v>
      </c>
      <c r="M14" s="5"/>
      <c r="N14" s="47"/>
      <c r="P14" s="48"/>
      <c r="Q14" s="5"/>
      <c r="R14" s="5"/>
      <c r="S14" s="5"/>
      <c r="T14" s="5"/>
      <c r="U14" s="5"/>
      <c r="V14" s="5"/>
    </row>
    <row r="15">
      <c r="A15" s="38" t="s">
        <v>184</v>
      </c>
      <c r="B15" s="56" t="s">
        <v>35</v>
      </c>
      <c r="C15" s="56" t="s">
        <v>35</v>
      </c>
      <c r="D15" s="57"/>
      <c r="E15" s="58"/>
      <c r="F15" s="59"/>
      <c r="G15" s="60"/>
      <c r="H15" s="61"/>
      <c r="I15" s="62"/>
      <c r="J15" s="59"/>
      <c r="K15" s="63" t="b">
        <v>0</v>
      </c>
      <c r="L15" s="64">
        <v>0.0</v>
      </c>
      <c r="M15" s="5"/>
      <c r="N15" s="65"/>
      <c r="O15" s="59"/>
      <c r="P15" s="66"/>
      <c r="Q15" s="5"/>
      <c r="R15" s="5"/>
      <c r="S15" s="5"/>
      <c r="T15" s="5"/>
      <c r="U15" s="5"/>
      <c r="V15" s="5"/>
    </row>
    <row r="16" ht="7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67" t="s">
        <v>185</v>
      </c>
      <c r="B17" s="13">
        <v>1.0</v>
      </c>
      <c r="C17" s="13">
        <v>2.0</v>
      </c>
      <c r="D17" s="13">
        <v>3.0</v>
      </c>
      <c r="E17" s="13">
        <v>4.0</v>
      </c>
      <c r="F17" s="13">
        <v>5.0</v>
      </c>
      <c r="G17" s="13">
        <v>6.0</v>
      </c>
      <c r="H17" s="13">
        <v>7.0</v>
      </c>
      <c r="I17" s="13">
        <v>8.0</v>
      </c>
      <c r="J17" s="13">
        <v>9.0</v>
      </c>
      <c r="K17" s="13">
        <v>10.0</v>
      </c>
      <c r="L17" s="13">
        <v>11.0</v>
      </c>
      <c r="M17" s="13">
        <v>12.0</v>
      </c>
      <c r="N17" s="13">
        <v>13.0</v>
      </c>
      <c r="O17" s="13">
        <v>14.0</v>
      </c>
      <c r="P17" s="13">
        <v>15.0</v>
      </c>
      <c r="Q17" s="5"/>
      <c r="R17" s="5"/>
      <c r="S17" s="5"/>
      <c r="T17" s="5"/>
      <c r="U17" s="5"/>
      <c r="V17" s="5"/>
    </row>
    <row r="18">
      <c r="A18" s="68" t="s">
        <v>186</v>
      </c>
      <c r="B18" s="15">
        <f t="array" ref="B18:P18">(B5:P5+B6:P6)*(1+B7:P7)</f>
        <v>10</v>
      </c>
      <c r="C18" s="17">
        <v>11.42</v>
      </c>
      <c r="D18" s="17">
        <v>12.99</v>
      </c>
      <c r="E18" s="17">
        <v>14.71</v>
      </c>
      <c r="F18" s="17">
        <v>51.6</v>
      </c>
      <c r="G18" s="17">
        <v>53.68</v>
      </c>
      <c r="H18" s="17">
        <v>55.97</v>
      </c>
      <c r="I18" s="17">
        <v>58.489999999999995</v>
      </c>
      <c r="J18" s="17">
        <v>61.269999999999996</v>
      </c>
      <c r="K18" s="17">
        <v>64.34</v>
      </c>
      <c r="L18" s="17">
        <v>67.72</v>
      </c>
      <c r="M18" s="17">
        <v>71.44</v>
      </c>
      <c r="N18" s="17">
        <v>75.53</v>
      </c>
      <c r="O18" s="17">
        <v>80.03</v>
      </c>
      <c r="P18" s="19">
        <v>84.99000000000001</v>
      </c>
      <c r="Q18" s="5"/>
      <c r="R18" s="5"/>
      <c r="S18" s="5"/>
      <c r="T18" s="5"/>
      <c r="U18" s="5"/>
      <c r="V18" s="5"/>
    </row>
    <row r="19">
      <c r="A19" s="68" t="s">
        <v>177</v>
      </c>
      <c r="B19" s="69">
        <f t="array" ref="B19:P19">(B5:P5+B6:P6+IF($B$10,'Atk Speed Boosts'!$C$1,0)+IF($B$11,'Atk Speed Boosts'!$C$2,0)+IF($B$12,'Atk Speed Boosts'!$C$3,0)+IF($B$13,'Atk Speed Boosts'!$C$4,0)+IF($B$14,'Atk Speed Boosts'!$C$5,0)+IF($B$15="Red 3",'Atk Speed Boosts'!$C$6,0)+IF($B$15="Red 5",'Atk Speed Boosts'!$C$7,0)+IF($B$15="Red 7",'Atk Speed Boosts'!$C$8,0)) * (1+B7:P7)</f>
        <v>18.75</v>
      </c>
      <c r="C19" s="24">
        <v>20.17</v>
      </c>
      <c r="D19" s="24">
        <v>21.740000000000002</v>
      </c>
      <c r="E19" s="24">
        <v>23.46</v>
      </c>
      <c r="F19" s="24">
        <v>60.35</v>
      </c>
      <c r="G19" s="24">
        <v>62.43</v>
      </c>
      <c r="H19" s="24">
        <v>64.72</v>
      </c>
      <c r="I19" s="24">
        <v>67.24</v>
      </c>
      <c r="J19" s="24">
        <v>70.02</v>
      </c>
      <c r="K19" s="24">
        <v>73.09</v>
      </c>
      <c r="L19" s="24">
        <v>76.47</v>
      </c>
      <c r="M19" s="24">
        <v>80.19</v>
      </c>
      <c r="N19" s="24">
        <v>84.28</v>
      </c>
      <c r="O19" s="24">
        <v>88.78</v>
      </c>
      <c r="P19" s="70">
        <v>93.74000000000001</v>
      </c>
      <c r="Q19" s="5"/>
      <c r="R19" s="5"/>
      <c r="S19" s="5"/>
      <c r="T19" s="5"/>
      <c r="U19" s="5"/>
      <c r="V19" s="5"/>
    </row>
    <row r="20">
      <c r="A20" s="68" t="s">
        <v>178</v>
      </c>
      <c r="B20" s="71">
        <f t="array" ref="B20:P20">(B5:P5+B6:P6+IF($C$10,'Atk Speed Boosts'!$C$1,0)+IF($C$11,'Atk Speed Boosts'!$C$2,0)+IF($C$12,'Atk Speed Boosts'!$C$3,0)+IF($C$13,'Atk Speed Boosts'!$C$4,0)+IF($C$14,'Atk Speed Boosts'!$C$5,0)+IF($C$15="Red 3",'Atk Speed Boosts'!$C$6,0)+IF($C$15="Red 5",'Atk Speed Boosts'!$C$7,0)+IF($C$15="Red 7",'Atk Speed Boosts'!$C$8,0)) * (1+B7:P7)</f>
        <v>29.25</v>
      </c>
      <c r="C20" s="72">
        <v>30.67</v>
      </c>
      <c r="D20" s="72">
        <v>32.24</v>
      </c>
      <c r="E20" s="72">
        <v>33.96</v>
      </c>
      <c r="F20" s="72">
        <v>70.85</v>
      </c>
      <c r="G20" s="72">
        <v>72.93</v>
      </c>
      <c r="H20" s="72">
        <v>75.22</v>
      </c>
      <c r="I20" s="72">
        <v>77.74</v>
      </c>
      <c r="J20" s="72">
        <v>80.52</v>
      </c>
      <c r="K20" s="72">
        <v>83.59</v>
      </c>
      <c r="L20" s="72">
        <v>86.97</v>
      </c>
      <c r="M20" s="72">
        <v>90.69</v>
      </c>
      <c r="N20" s="72">
        <v>94.78</v>
      </c>
      <c r="O20" s="72">
        <v>99.28</v>
      </c>
      <c r="P20" s="73">
        <v>104.24000000000001</v>
      </c>
      <c r="Q20" s="5"/>
      <c r="R20" s="5"/>
      <c r="S20" s="5"/>
      <c r="T20" s="5"/>
      <c r="U20" s="5"/>
      <c r="V20" s="5"/>
    </row>
    <row r="21" ht="7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67" t="s">
        <v>187</v>
      </c>
      <c r="B22" s="13">
        <v>1.0</v>
      </c>
      <c r="C22" s="13">
        <v>2.0</v>
      </c>
      <c r="D22" s="13">
        <v>3.0</v>
      </c>
      <c r="E22" s="13">
        <v>4.0</v>
      </c>
      <c r="F22" s="13">
        <v>5.0</v>
      </c>
      <c r="G22" s="13">
        <v>6.0</v>
      </c>
      <c r="H22" s="13">
        <v>7.0</v>
      </c>
      <c r="I22" s="13">
        <v>8.0</v>
      </c>
      <c r="J22" s="13">
        <v>9.0</v>
      </c>
      <c r="K22" s="13">
        <v>10.0</v>
      </c>
      <c r="L22" s="13">
        <v>11.0</v>
      </c>
      <c r="M22" s="13">
        <v>12.0</v>
      </c>
      <c r="N22" s="13">
        <v>13.0</v>
      </c>
      <c r="O22" s="13">
        <v>14.0</v>
      </c>
      <c r="P22" s="13">
        <v>15.0</v>
      </c>
      <c r="Q22" s="5"/>
      <c r="R22" s="5"/>
      <c r="S22" s="5"/>
      <c r="T22" s="5"/>
      <c r="U22" s="5"/>
      <c r="V22" s="5"/>
    </row>
    <row r="23">
      <c r="A23" s="68" t="s">
        <v>186</v>
      </c>
      <c r="B23" s="74">
        <f t="shared" ref="B23:P23" si="2">IFS(B18 &gt; 272.5, 16, B18 &gt; 202.4, 20, B18 &gt; 151.81, 24, B18 &gt; 115.99, 28, B18 &gt; 89.04, 32, B18 &gt; 68.05, 36, B18 &gt; 51.29, 40, B18 &gt; 37.56, 44, B18 &gt; 26.11, 48, B18 &gt; 16.42, 52, B18 &gt; 8.1, 56, B18 &gt;= 0, 60, B18 &lt; 0 , 60)</f>
        <v>56</v>
      </c>
      <c r="C23" s="75">
        <f t="shared" si="2"/>
        <v>56</v>
      </c>
      <c r="D23" s="75">
        <f t="shared" si="2"/>
        <v>56</v>
      </c>
      <c r="E23" s="75">
        <f t="shared" si="2"/>
        <v>56</v>
      </c>
      <c r="F23" s="75">
        <f t="shared" si="2"/>
        <v>40</v>
      </c>
      <c r="G23" s="75">
        <f t="shared" si="2"/>
        <v>40</v>
      </c>
      <c r="H23" s="75">
        <f t="shared" si="2"/>
        <v>40</v>
      </c>
      <c r="I23" s="75">
        <f t="shared" si="2"/>
        <v>40</v>
      </c>
      <c r="J23" s="75">
        <f t="shared" si="2"/>
        <v>40</v>
      </c>
      <c r="K23" s="75">
        <f t="shared" si="2"/>
        <v>40</v>
      </c>
      <c r="L23" s="75">
        <f t="shared" si="2"/>
        <v>40</v>
      </c>
      <c r="M23" s="75">
        <f t="shared" si="2"/>
        <v>36</v>
      </c>
      <c r="N23" s="75">
        <f t="shared" si="2"/>
        <v>36</v>
      </c>
      <c r="O23" s="75">
        <f t="shared" si="2"/>
        <v>36</v>
      </c>
      <c r="P23" s="76">
        <f t="shared" si="2"/>
        <v>36</v>
      </c>
      <c r="Q23" s="5"/>
      <c r="R23" s="5"/>
      <c r="S23" s="5"/>
      <c r="T23" s="5"/>
      <c r="U23" s="5"/>
      <c r="V23" s="5"/>
    </row>
    <row r="24">
      <c r="A24" s="68" t="s">
        <v>177</v>
      </c>
      <c r="B24" s="77">
        <f t="shared" ref="B24:P24" si="3">IFS(B19 &gt; 272.5, 16, B19 &gt; 202.4, 20, B19 &gt; 151.81, 24, B19 &gt; 115.99, 28, B19 &gt; 89.04, 32, B19 &gt; 68.05, 36, B19 &gt; 51.29, 40, B19 &gt; 37.56, 44, B19 &gt; 26.11, 48, B19 &gt; 16.42, 52, B19 &gt; 8.1, 56, B19 &gt;= 0, 60, B19 &lt; 0 , 60)</f>
        <v>52</v>
      </c>
      <c r="C24" s="78">
        <f t="shared" si="3"/>
        <v>52</v>
      </c>
      <c r="D24" s="78">
        <f t="shared" si="3"/>
        <v>52</v>
      </c>
      <c r="E24" s="78">
        <f t="shared" si="3"/>
        <v>52</v>
      </c>
      <c r="F24" s="78">
        <f t="shared" si="3"/>
        <v>40</v>
      </c>
      <c r="G24" s="78">
        <f t="shared" si="3"/>
        <v>40</v>
      </c>
      <c r="H24" s="78">
        <f t="shared" si="3"/>
        <v>40</v>
      </c>
      <c r="I24" s="78">
        <f t="shared" si="3"/>
        <v>40</v>
      </c>
      <c r="J24" s="78">
        <f t="shared" si="3"/>
        <v>36</v>
      </c>
      <c r="K24" s="78">
        <f t="shared" si="3"/>
        <v>36</v>
      </c>
      <c r="L24" s="78">
        <f t="shared" si="3"/>
        <v>36</v>
      </c>
      <c r="M24" s="78">
        <f t="shared" si="3"/>
        <v>36</v>
      </c>
      <c r="N24" s="78">
        <f t="shared" si="3"/>
        <v>36</v>
      </c>
      <c r="O24" s="78">
        <f t="shared" si="3"/>
        <v>36</v>
      </c>
      <c r="P24" s="79">
        <f t="shared" si="3"/>
        <v>32</v>
      </c>
      <c r="Q24" s="5"/>
      <c r="R24" s="5"/>
      <c r="S24" s="5"/>
      <c r="T24" s="5"/>
      <c r="U24" s="5"/>
      <c r="V24" s="5"/>
    </row>
    <row r="25">
      <c r="A25" s="68" t="s">
        <v>178</v>
      </c>
      <c r="B25" s="80">
        <f t="shared" ref="B25:P25" si="4">IFS(B20 &gt; 272.5, 16, B20 &gt; 202.4, 20, B20 &gt; 151.81, 24, B20 &gt; 115.99, 28, B20 &gt; 89.04, 32, B20 &gt; 68.05, 36, B20 &gt; 51.29, 40, B20 &gt; 37.56, 44, B20 &gt; 26.11, 48, B20 &gt; 16.42, 52, B20 &gt; 8.1, 56, B20 &gt;= 0, 60, B20 &lt; 0 , 60)</f>
        <v>48</v>
      </c>
      <c r="C25" s="81">
        <f t="shared" si="4"/>
        <v>48</v>
      </c>
      <c r="D25" s="81">
        <f t="shared" si="4"/>
        <v>48</v>
      </c>
      <c r="E25" s="81">
        <f t="shared" si="4"/>
        <v>48</v>
      </c>
      <c r="F25" s="81">
        <f t="shared" si="4"/>
        <v>36</v>
      </c>
      <c r="G25" s="81">
        <f t="shared" si="4"/>
        <v>36</v>
      </c>
      <c r="H25" s="81">
        <f t="shared" si="4"/>
        <v>36</v>
      </c>
      <c r="I25" s="81">
        <f t="shared" si="4"/>
        <v>36</v>
      </c>
      <c r="J25" s="81">
        <f t="shared" si="4"/>
        <v>36</v>
      </c>
      <c r="K25" s="81">
        <f t="shared" si="4"/>
        <v>36</v>
      </c>
      <c r="L25" s="81">
        <f t="shared" si="4"/>
        <v>36</v>
      </c>
      <c r="M25" s="81">
        <f t="shared" si="4"/>
        <v>32</v>
      </c>
      <c r="N25" s="81">
        <f t="shared" si="4"/>
        <v>32</v>
      </c>
      <c r="O25" s="81">
        <f t="shared" si="4"/>
        <v>32</v>
      </c>
      <c r="P25" s="82">
        <f t="shared" si="4"/>
        <v>32</v>
      </c>
      <c r="Q25" s="5"/>
      <c r="R25" s="5"/>
      <c r="S25" s="5"/>
      <c r="T25" s="5"/>
      <c r="U25" s="5"/>
      <c r="V25" s="5"/>
    </row>
    <row r="26">
      <c r="A26" s="83" t="str">
        <f>"Amount of Levels it matters: " &amp; COUNTIF(B26:P26,"Faster")</f>
        <v>Amount of Levels it matters: 11</v>
      </c>
      <c r="B26" s="84" t="str">
        <f t="shared" ref="B26:P26" si="5">IF(B24&gt;B25,"Faster","No Benefit")</f>
        <v>Faster</v>
      </c>
      <c r="C26" s="85" t="str">
        <f t="shared" si="5"/>
        <v>Faster</v>
      </c>
      <c r="D26" s="85" t="str">
        <f t="shared" si="5"/>
        <v>Faster</v>
      </c>
      <c r="E26" s="85" t="str">
        <f t="shared" si="5"/>
        <v>Faster</v>
      </c>
      <c r="F26" s="85" t="str">
        <f t="shared" si="5"/>
        <v>Faster</v>
      </c>
      <c r="G26" s="85" t="str">
        <f t="shared" si="5"/>
        <v>Faster</v>
      </c>
      <c r="H26" s="85" t="str">
        <f t="shared" si="5"/>
        <v>Faster</v>
      </c>
      <c r="I26" s="85" t="str">
        <f t="shared" si="5"/>
        <v>Faster</v>
      </c>
      <c r="J26" s="85" t="str">
        <f t="shared" si="5"/>
        <v>No Benefit</v>
      </c>
      <c r="K26" s="85" t="str">
        <f t="shared" si="5"/>
        <v>No Benefit</v>
      </c>
      <c r="L26" s="85" t="str">
        <f t="shared" si="5"/>
        <v>No Benefit</v>
      </c>
      <c r="M26" s="85" t="str">
        <f t="shared" si="5"/>
        <v>Faster</v>
      </c>
      <c r="N26" s="85" t="str">
        <f t="shared" si="5"/>
        <v>Faster</v>
      </c>
      <c r="O26" s="85" t="str">
        <f t="shared" si="5"/>
        <v>Faster</v>
      </c>
      <c r="P26" s="85" t="str">
        <f t="shared" si="5"/>
        <v>No Benefit</v>
      </c>
      <c r="Q26" s="5"/>
      <c r="R26" s="5"/>
      <c r="S26" s="5"/>
      <c r="T26" s="5"/>
      <c r="U26" s="5"/>
      <c r="V26" s="5"/>
    </row>
    <row r="27" ht="7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86" t="s">
        <v>188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8"/>
      <c r="V28" s="5"/>
    </row>
    <row r="29">
      <c r="A29" s="89" t="str">
        <f>IF(OR($B$10,$C$10),"X-Atk:On
","X-Atk:Off
")
&amp; IF(OR($B$13,$C$13),"RFS Proc:On","RFS Proc:Off")</f>
        <v>X-Atk:Off
RFS Proc:Off</v>
      </c>
      <c r="B29" s="90" t="s">
        <v>189</v>
      </c>
      <c r="C29" s="91" t="s">
        <v>190</v>
      </c>
      <c r="D29" s="91" t="s">
        <v>191</v>
      </c>
      <c r="E29" s="91" t="s">
        <v>192</v>
      </c>
      <c r="F29" s="91" t="s">
        <v>193</v>
      </c>
      <c r="G29" s="91" t="s">
        <v>194</v>
      </c>
      <c r="H29" s="91" t="s">
        <v>195</v>
      </c>
      <c r="I29" s="91" t="s">
        <v>196</v>
      </c>
      <c r="J29" s="91" t="s">
        <v>197</v>
      </c>
      <c r="K29" s="91" t="s">
        <v>198</v>
      </c>
      <c r="L29" s="91" t="s">
        <v>199</v>
      </c>
      <c r="M29" s="91" t="s">
        <v>200</v>
      </c>
      <c r="N29" s="91" t="s">
        <v>201</v>
      </c>
      <c r="O29" s="91" t="s">
        <v>202</v>
      </c>
      <c r="P29" s="91" t="s">
        <v>203</v>
      </c>
      <c r="Q29" s="91" t="s">
        <v>204</v>
      </c>
      <c r="R29" s="91" t="s">
        <v>205</v>
      </c>
      <c r="S29" s="91" t="s">
        <v>206</v>
      </c>
      <c r="T29" s="91" t="s">
        <v>207</v>
      </c>
      <c r="U29" s="91" t="s">
        <v>208</v>
      </c>
      <c r="V29" s="5"/>
    </row>
    <row r="30">
      <c r="A30" s="92" t="s">
        <v>209</v>
      </c>
      <c r="B30" s="93">
        <f t="shared" ref="B30:U30" si="6">IFS(B48 &gt; 272.5, 16, B48 &gt; 202.4, 20, B48 &gt; 151.81, 24, B48 &gt; 115.99, 28, B48 &gt; 89.04, 32, B48 &gt; 68.05, 36, B48 &gt; 51.29, 40, B48 &gt; 37.56, 44, B48 &gt; 26.11, 48, B48 &gt; 16.42, 52, B48 &gt; 8.1, 56, B48 &gt;= 0, 60, B48 &lt; 0 , 60)</f>
        <v>56</v>
      </c>
      <c r="C30" s="94">
        <f t="shared" si="6"/>
        <v>56</v>
      </c>
      <c r="D30" s="94">
        <f t="shared" si="6"/>
        <v>56</v>
      </c>
      <c r="E30" s="94">
        <f t="shared" si="6"/>
        <v>52</v>
      </c>
      <c r="F30" s="94">
        <f t="shared" si="6"/>
        <v>52</v>
      </c>
      <c r="G30" s="94">
        <f t="shared" si="6"/>
        <v>52</v>
      </c>
      <c r="H30" s="94">
        <f t="shared" si="6"/>
        <v>52</v>
      </c>
      <c r="I30" s="94">
        <f t="shared" si="6"/>
        <v>52</v>
      </c>
      <c r="J30" s="94">
        <f t="shared" si="6"/>
        <v>52</v>
      </c>
      <c r="K30" s="94">
        <f t="shared" si="6"/>
        <v>52</v>
      </c>
      <c r="L30" s="94">
        <f t="shared" si="6"/>
        <v>48</v>
      </c>
      <c r="M30" s="94">
        <f t="shared" si="6"/>
        <v>48</v>
      </c>
      <c r="N30" s="94">
        <f t="shared" si="6"/>
        <v>48</v>
      </c>
      <c r="O30" s="94">
        <f t="shared" si="6"/>
        <v>48</v>
      </c>
      <c r="P30" s="94">
        <f t="shared" si="6"/>
        <v>48</v>
      </c>
      <c r="Q30" s="94">
        <f t="shared" si="6"/>
        <v>48</v>
      </c>
      <c r="R30" s="94">
        <f t="shared" si="6"/>
        <v>44</v>
      </c>
      <c r="S30" s="94">
        <f t="shared" si="6"/>
        <v>44</v>
      </c>
      <c r="T30" s="94">
        <f t="shared" si="6"/>
        <v>44</v>
      </c>
      <c r="U30" s="95">
        <f t="shared" si="6"/>
        <v>44</v>
      </c>
      <c r="V30" s="5"/>
    </row>
    <row r="31">
      <c r="A31" s="92" t="s">
        <v>210</v>
      </c>
      <c r="B31" s="96">
        <f t="shared" ref="B31:U31" si="7">IFS(B49 &gt; 272.5, 16, B49 &gt; 202.4, 20, B49 &gt; 151.81, 24, B49 &gt; 115.99, 28, B49 &gt; 89.04, 32, B49 &gt; 68.05, 36, B49 &gt; 51.29, 40, B49 &gt; 37.56, 44, B49 &gt; 26.11, 48, B49 &gt; 16.42, 52, B49 &gt; 8.1, 56, B49 &gt;= 0, 60, B49 &lt; 0 , 60)</f>
        <v>56</v>
      </c>
      <c r="C31" s="97">
        <f t="shared" si="7"/>
        <v>56</v>
      </c>
      <c r="D31" s="97">
        <f t="shared" si="7"/>
        <v>56</v>
      </c>
      <c r="E31" s="97">
        <f t="shared" si="7"/>
        <v>52</v>
      </c>
      <c r="F31" s="97">
        <f t="shared" si="7"/>
        <v>52</v>
      </c>
      <c r="G31" s="97">
        <f t="shared" si="7"/>
        <v>52</v>
      </c>
      <c r="H31" s="97">
        <f t="shared" si="7"/>
        <v>52</v>
      </c>
      <c r="I31" s="97">
        <f t="shared" si="7"/>
        <v>52</v>
      </c>
      <c r="J31" s="97">
        <f t="shared" si="7"/>
        <v>52</v>
      </c>
      <c r="K31" s="97">
        <f t="shared" si="7"/>
        <v>52</v>
      </c>
      <c r="L31" s="97">
        <f t="shared" si="7"/>
        <v>48</v>
      </c>
      <c r="M31" s="97">
        <f t="shared" si="7"/>
        <v>48</v>
      </c>
      <c r="N31" s="97">
        <f t="shared" si="7"/>
        <v>48</v>
      </c>
      <c r="O31" s="97">
        <f t="shared" si="7"/>
        <v>48</v>
      </c>
      <c r="P31" s="97">
        <f t="shared" si="7"/>
        <v>48</v>
      </c>
      <c r="Q31" s="97">
        <f t="shared" si="7"/>
        <v>44</v>
      </c>
      <c r="R31" s="97">
        <f t="shared" si="7"/>
        <v>44</v>
      </c>
      <c r="S31" s="97">
        <f t="shared" si="7"/>
        <v>44</v>
      </c>
      <c r="T31" s="97">
        <f t="shared" si="7"/>
        <v>44</v>
      </c>
      <c r="U31" s="98">
        <f t="shared" si="7"/>
        <v>44</v>
      </c>
      <c r="V31" s="5"/>
    </row>
    <row r="32">
      <c r="A32" s="92" t="s">
        <v>211</v>
      </c>
      <c r="B32" s="96">
        <f t="shared" ref="B32:U32" si="8">IFS(B50 &gt; 272.5, 16, B50 &gt; 202.4, 20, B50 &gt; 151.81, 24, B50 &gt; 115.99, 28, B50 &gt; 89.04, 32, B50 &gt; 68.05, 36, B50 &gt; 51.29, 40, B50 &gt; 37.56, 44, B50 &gt; 26.11, 48, B50 &gt; 16.42, 52, B50 &gt; 8.1, 56, B50 &gt;= 0, 60, B50 &lt; 0 , 60)</f>
        <v>56</v>
      </c>
      <c r="C32" s="97">
        <f t="shared" si="8"/>
        <v>56</v>
      </c>
      <c r="D32" s="97">
        <f t="shared" si="8"/>
        <v>52</v>
      </c>
      <c r="E32" s="97">
        <f t="shared" si="8"/>
        <v>52</v>
      </c>
      <c r="F32" s="97">
        <f t="shared" si="8"/>
        <v>52</v>
      </c>
      <c r="G32" s="97">
        <f t="shared" si="8"/>
        <v>52</v>
      </c>
      <c r="H32" s="97">
        <f t="shared" si="8"/>
        <v>52</v>
      </c>
      <c r="I32" s="97">
        <f t="shared" si="8"/>
        <v>52</v>
      </c>
      <c r="J32" s="97">
        <f t="shared" si="8"/>
        <v>52</v>
      </c>
      <c r="K32" s="97">
        <f t="shared" si="8"/>
        <v>48</v>
      </c>
      <c r="L32" s="97">
        <f t="shared" si="8"/>
        <v>48</v>
      </c>
      <c r="M32" s="97">
        <f t="shared" si="8"/>
        <v>48</v>
      </c>
      <c r="N32" s="97">
        <f t="shared" si="8"/>
        <v>48</v>
      </c>
      <c r="O32" s="97">
        <f t="shared" si="8"/>
        <v>48</v>
      </c>
      <c r="P32" s="97">
        <f t="shared" si="8"/>
        <v>48</v>
      </c>
      <c r="Q32" s="97">
        <f t="shared" si="8"/>
        <v>44</v>
      </c>
      <c r="R32" s="97">
        <f t="shared" si="8"/>
        <v>44</v>
      </c>
      <c r="S32" s="97">
        <f t="shared" si="8"/>
        <v>44</v>
      </c>
      <c r="T32" s="97">
        <f t="shared" si="8"/>
        <v>44</v>
      </c>
      <c r="U32" s="98">
        <f t="shared" si="8"/>
        <v>44</v>
      </c>
      <c r="V32" s="5"/>
    </row>
    <row r="33">
      <c r="A33" s="92" t="s">
        <v>212</v>
      </c>
      <c r="B33" s="96">
        <f t="shared" ref="B33:U33" si="9">IFS(B51 &gt; 272.5, 16, B51 &gt; 202.4, 20, B51 &gt; 151.81, 24, B51 &gt; 115.99, 28, B51 &gt; 89.04, 32, B51 &gt; 68.05, 36, B51 &gt; 51.29, 40, B51 &gt; 37.56, 44, B51 &gt; 26.11, 48, B51 &gt; 16.42, 52, B51 &gt; 8.1, 56, B51 &gt;= 0, 60, B51 &lt; 0 , 60)</f>
        <v>56</v>
      </c>
      <c r="C33" s="97">
        <f t="shared" si="9"/>
        <v>52</v>
      </c>
      <c r="D33" s="97">
        <f t="shared" si="9"/>
        <v>52</v>
      </c>
      <c r="E33" s="97">
        <f t="shared" si="9"/>
        <v>52</v>
      </c>
      <c r="F33" s="97">
        <f t="shared" si="9"/>
        <v>52</v>
      </c>
      <c r="G33" s="97">
        <f t="shared" si="9"/>
        <v>52</v>
      </c>
      <c r="H33" s="97">
        <f t="shared" si="9"/>
        <v>52</v>
      </c>
      <c r="I33" s="97">
        <f t="shared" si="9"/>
        <v>48</v>
      </c>
      <c r="J33" s="97">
        <f t="shared" si="9"/>
        <v>48</v>
      </c>
      <c r="K33" s="97">
        <f t="shared" si="9"/>
        <v>48</v>
      </c>
      <c r="L33" s="97">
        <f t="shared" si="9"/>
        <v>48</v>
      </c>
      <c r="M33" s="97">
        <f t="shared" si="9"/>
        <v>48</v>
      </c>
      <c r="N33" s="97">
        <f t="shared" si="9"/>
        <v>48</v>
      </c>
      <c r="O33" s="97">
        <f t="shared" si="9"/>
        <v>48</v>
      </c>
      <c r="P33" s="97">
        <f t="shared" si="9"/>
        <v>44</v>
      </c>
      <c r="Q33" s="97">
        <f t="shared" si="9"/>
        <v>44</v>
      </c>
      <c r="R33" s="97">
        <f t="shared" si="9"/>
        <v>44</v>
      </c>
      <c r="S33" s="97">
        <f t="shared" si="9"/>
        <v>44</v>
      </c>
      <c r="T33" s="97">
        <f t="shared" si="9"/>
        <v>44</v>
      </c>
      <c r="U33" s="98">
        <f t="shared" si="9"/>
        <v>44</v>
      </c>
      <c r="V33" s="5"/>
    </row>
    <row r="34">
      <c r="A34" s="92" t="s">
        <v>213</v>
      </c>
      <c r="B34" s="96">
        <f t="shared" ref="B34:U34" si="10">IFS(B52 &gt; 272.5, 16, B52 &gt; 202.4, 20, B52 &gt; 151.81, 24, B52 &gt; 115.99, 28, B52 &gt; 89.04, 32, B52 &gt; 68.05, 36, B52 &gt; 51.29, 40, B52 &gt; 37.56, 44, B52 &gt; 26.11, 48, B52 &gt; 16.42, 52, B52 &gt; 8.1, 56, B52 &gt;= 0, 60, B52 &lt; 0 , 60)</f>
        <v>40</v>
      </c>
      <c r="C34" s="97">
        <f t="shared" si="10"/>
        <v>40</v>
      </c>
      <c r="D34" s="97">
        <f t="shared" si="10"/>
        <v>40</v>
      </c>
      <c r="E34" s="97">
        <f t="shared" si="10"/>
        <v>40</v>
      </c>
      <c r="F34" s="97">
        <f t="shared" si="10"/>
        <v>40</v>
      </c>
      <c r="G34" s="97">
        <f t="shared" si="10"/>
        <v>40</v>
      </c>
      <c r="H34" s="97">
        <f t="shared" si="10"/>
        <v>40</v>
      </c>
      <c r="I34" s="97">
        <f t="shared" si="10"/>
        <v>40</v>
      </c>
      <c r="J34" s="97">
        <f t="shared" si="10"/>
        <v>40</v>
      </c>
      <c r="K34" s="97">
        <f t="shared" si="10"/>
        <v>40</v>
      </c>
      <c r="L34" s="97">
        <f t="shared" si="10"/>
        <v>36</v>
      </c>
      <c r="M34" s="97">
        <f t="shared" si="10"/>
        <v>36</v>
      </c>
      <c r="N34" s="97">
        <f t="shared" si="10"/>
        <v>36</v>
      </c>
      <c r="O34" s="97">
        <f t="shared" si="10"/>
        <v>36</v>
      </c>
      <c r="P34" s="97">
        <f t="shared" si="10"/>
        <v>36</v>
      </c>
      <c r="Q34" s="97">
        <f t="shared" si="10"/>
        <v>36</v>
      </c>
      <c r="R34" s="97">
        <f t="shared" si="10"/>
        <v>36</v>
      </c>
      <c r="S34" s="97">
        <f t="shared" si="10"/>
        <v>36</v>
      </c>
      <c r="T34" s="97">
        <f t="shared" si="10"/>
        <v>36</v>
      </c>
      <c r="U34" s="98">
        <f t="shared" si="10"/>
        <v>36</v>
      </c>
      <c r="V34" s="5"/>
    </row>
    <row r="35">
      <c r="A35" s="92" t="s">
        <v>214</v>
      </c>
      <c r="B35" s="96">
        <f t="shared" ref="B35:U35" si="11">IFS(B53 &gt; 272.5, 16, B53 &gt; 202.4, 20, B53 &gt; 151.81, 24, B53 &gt; 115.99, 28, B53 &gt; 89.04, 32, B53 &gt; 68.05, 36, B53 &gt; 51.29, 40, B53 &gt; 37.56, 44, B53 &gt; 26.11, 48, B53 &gt; 16.42, 52, B53 &gt; 8.1, 56, B53 &gt;= 0, 60, B53 &lt; 0 , 60)</f>
        <v>40</v>
      </c>
      <c r="C35" s="97">
        <f t="shared" si="11"/>
        <v>40</v>
      </c>
      <c r="D35" s="97">
        <f t="shared" si="11"/>
        <v>40</v>
      </c>
      <c r="E35" s="97">
        <f t="shared" si="11"/>
        <v>40</v>
      </c>
      <c r="F35" s="97">
        <f t="shared" si="11"/>
        <v>40</v>
      </c>
      <c r="G35" s="97">
        <f t="shared" si="11"/>
        <v>40</v>
      </c>
      <c r="H35" s="97">
        <f t="shared" si="11"/>
        <v>40</v>
      </c>
      <c r="I35" s="97">
        <f t="shared" si="11"/>
        <v>40</v>
      </c>
      <c r="J35" s="97">
        <f t="shared" si="11"/>
        <v>40</v>
      </c>
      <c r="K35" s="97">
        <f t="shared" si="11"/>
        <v>36</v>
      </c>
      <c r="L35" s="97">
        <f t="shared" si="11"/>
        <v>36</v>
      </c>
      <c r="M35" s="97">
        <f t="shared" si="11"/>
        <v>36</v>
      </c>
      <c r="N35" s="97">
        <f t="shared" si="11"/>
        <v>36</v>
      </c>
      <c r="O35" s="97">
        <f t="shared" si="11"/>
        <v>36</v>
      </c>
      <c r="P35" s="97">
        <f t="shared" si="11"/>
        <v>36</v>
      </c>
      <c r="Q35" s="97">
        <f t="shared" si="11"/>
        <v>36</v>
      </c>
      <c r="R35" s="97">
        <f t="shared" si="11"/>
        <v>36</v>
      </c>
      <c r="S35" s="97">
        <f t="shared" si="11"/>
        <v>36</v>
      </c>
      <c r="T35" s="97">
        <f t="shared" si="11"/>
        <v>36</v>
      </c>
      <c r="U35" s="98">
        <f t="shared" si="11"/>
        <v>32</v>
      </c>
      <c r="V35" s="5"/>
    </row>
    <row r="36">
      <c r="A36" s="92" t="s">
        <v>215</v>
      </c>
      <c r="B36" s="96">
        <f t="shared" ref="B36:U36" si="12">IFS(B54 &gt; 272.5, 16, B54 &gt; 202.4, 20, B54 &gt; 151.81, 24, B54 &gt; 115.99, 28, B54 &gt; 89.04, 32, B54 &gt; 68.05, 36, B54 &gt; 51.29, 40, B54 &gt; 37.56, 44, B54 &gt; 26.11, 48, B54 &gt; 16.42, 52, B54 &gt; 8.1, 56, B54 &gt;= 0, 60, B54 &lt; 0 , 60)</f>
        <v>40</v>
      </c>
      <c r="C36" s="97">
        <f t="shared" si="12"/>
        <v>40</v>
      </c>
      <c r="D36" s="97">
        <f t="shared" si="12"/>
        <v>40</v>
      </c>
      <c r="E36" s="97">
        <f t="shared" si="12"/>
        <v>40</v>
      </c>
      <c r="F36" s="97">
        <f t="shared" si="12"/>
        <v>40</v>
      </c>
      <c r="G36" s="97">
        <f t="shared" si="12"/>
        <v>40</v>
      </c>
      <c r="H36" s="97">
        <f t="shared" si="12"/>
        <v>40</v>
      </c>
      <c r="I36" s="97">
        <f t="shared" si="12"/>
        <v>36</v>
      </c>
      <c r="J36" s="97">
        <f t="shared" si="12"/>
        <v>36</v>
      </c>
      <c r="K36" s="97">
        <f t="shared" si="12"/>
        <v>36</v>
      </c>
      <c r="L36" s="97">
        <f t="shared" si="12"/>
        <v>36</v>
      </c>
      <c r="M36" s="97">
        <f t="shared" si="12"/>
        <v>36</v>
      </c>
      <c r="N36" s="97">
        <f t="shared" si="12"/>
        <v>36</v>
      </c>
      <c r="O36" s="97">
        <f t="shared" si="12"/>
        <v>36</v>
      </c>
      <c r="P36" s="97">
        <f t="shared" si="12"/>
        <v>36</v>
      </c>
      <c r="Q36" s="97">
        <f t="shared" si="12"/>
        <v>36</v>
      </c>
      <c r="R36" s="97">
        <f t="shared" si="12"/>
        <v>36</v>
      </c>
      <c r="S36" s="97">
        <f t="shared" si="12"/>
        <v>36</v>
      </c>
      <c r="T36" s="97">
        <f t="shared" si="12"/>
        <v>36</v>
      </c>
      <c r="U36" s="98">
        <f t="shared" si="12"/>
        <v>32</v>
      </c>
      <c r="V36" s="5"/>
    </row>
    <row r="37">
      <c r="A37" s="92" t="s">
        <v>216</v>
      </c>
      <c r="B37" s="96">
        <f t="shared" ref="B37:U37" si="13">IFS(B55 &gt; 272.5, 16, B55 &gt; 202.4, 20, B55 &gt; 151.81, 24, B55 &gt; 115.99, 28, B55 &gt; 89.04, 32, B55 &gt; 68.05, 36, B55 &gt; 51.29, 40, B55 &gt; 37.56, 44, B55 &gt; 26.11, 48, B55 &gt; 16.42, 52, B55 &gt; 8.1, 56, B55 &gt;= 0, 60, B55 &lt; 0 , 60)</f>
        <v>40</v>
      </c>
      <c r="C37" s="97">
        <f t="shared" si="13"/>
        <v>40</v>
      </c>
      <c r="D37" s="97">
        <f t="shared" si="13"/>
        <v>40</v>
      </c>
      <c r="E37" s="97">
        <f t="shared" si="13"/>
        <v>40</v>
      </c>
      <c r="F37" s="97">
        <f t="shared" si="13"/>
        <v>40</v>
      </c>
      <c r="G37" s="97">
        <f t="shared" si="13"/>
        <v>36</v>
      </c>
      <c r="H37" s="97">
        <f t="shared" si="13"/>
        <v>36</v>
      </c>
      <c r="I37" s="97">
        <f t="shared" si="13"/>
        <v>36</v>
      </c>
      <c r="J37" s="97">
        <f t="shared" si="13"/>
        <v>36</v>
      </c>
      <c r="K37" s="97">
        <f t="shared" si="13"/>
        <v>36</v>
      </c>
      <c r="L37" s="97">
        <f t="shared" si="13"/>
        <v>36</v>
      </c>
      <c r="M37" s="97">
        <f t="shared" si="13"/>
        <v>36</v>
      </c>
      <c r="N37" s="97">
        <f t="shared" si="13"/>
        <v>36</v>
      </c>
      <c r="O37" s="97">
        <f t="shared" si="13"/>
        <v>36</v>
      </c>
      <c r="P37" s="97">
        <f t="shared" si="13"/>
        <v>36</v>
      </c>
      <c r="Q37" s="97">
        <f t="shared" si="13"/>
        <v>36</v>
      </c>
      <c r="R37" s="97">
        <f t="shared" si="13"/>
        <v>36</v>
      </c>
      <c r="S37" s="97">
        <f t="shared" si="13"/>
        <v>36</v>
      </c>
      <c r="T37" s="97">
        <f t="shared" si="13"/>
        <v>32</v>
      </c>
      <c r="U37" s="98">
        <f t="shared" si="13"/>
        <v>32</v>
      </c>
      <c r="V37" s="5"/>
    </row>
    <row r="38">
      <c r="A38" s="92" t="s">
        <v>217</v>
      </c>
      <c r="B38" s="96">
        <f t="shared" ref="B38:U38" si="14">IFS(B56 &gt; 272.5, 16, B56 &gt; 202.4, 20, B56 &gt; 151.81, 24, B56 &gt; 115.99, 28, B56 &gt; 89.04, 32, B56 &gt; 68.05, 36, B56 &gt; 51.29, 40, B56 &gt; 37.56, 44, B56 &gt; 26.11, 48, B56 &gt; 16.42, 52, B56 &gt; 8.1, 56, B56 &gt;= 0, 60, B56 &lt; 0 , 60)</f>
        <v>40</v>
      </c>
      <c r="C38" s="97">
        <f t="shared" si="14"/>
        <v>40</v>
      </c>
      <c r="D38" s="97">
        <f t="shared" si="14"/>
        <v>40</v>
      </c>
      <c r="E38" s="97">
        <f t="shared" si="14"/>
        <v>36</v>
      </c>
      <c r="F38" s="97">
        <f t="shared" si="14"/>
        <v>36</v>
      </c>
      <c r="G38" s="97">
        <f t="shared" si="14"/>
        <v>36</v>
      </c>
      <c r="H38" s="97">
        <f t="shared" si="14"/>
        <v>36</v>
      </c>
      <c r="I38" s="97">
        <f t="shared" si="14"/>
        <v>36</v>
      </c>
      <c r="J38" s="97">
        <f t="shared" si="14"/>
        <v>36</v>
      </c>
      <c r="K38" s="97">
        <f t="shared" si="14"/>
        <v>36</v>
      </c>
      <c r="L38" s="97">
        <f t="shared" si="14"/>
        <v>36</v>
      </c>
      <c r="M38" s="97">
        <f t="shared" si="14"/>
        <v>36</v>
      </c>
      <c r="N38" s="97">
        <f t="shared" si="14"/>
        <v>36</v>
      </c>
      <c r="O38" s="97">
        <f t="shared" si="14"/>
        <v>36</v>
      </c>
      <c r="P38" s="97">
        <f t="shared" si="14"/>
        <v>36</v>
      </c>
      <c r="Q38" s="97">
        <f t="shared" si="14"/>
        <v>36</v>
      </c>
      <c r="R38" s="97">
        <f t="shared" si="14"/>
        <v>32</v>
      </c>
      <c r="S38" s="97">
        <f t="shared" si="14"/>
        <v>32</v>
      </c>
      <c r="T38" s="97">
        <f t="shared" si="14"/>
        <v>32</v>
      </c>
      <c r="U38" s="98">
        <f t="shared" si="14"/>
        <v>32</v>
      </c>
      <c r="V38" s="5"/>
    </row>
    <row r="39">
      <c r="A39" s="92" t="s">
        <v>218</v>
      </c>
      <c r="B39" s="96">
        <f t="shared" ref="B39:U39" si="15">IFS(B57 &gt; 272.5, 16, B57 &gt; 202.4, 20, B57 &gt; 151.81, 24, B57 &gt; 115.99, 28, B57 &gt; 89.04, 32, B57 &gt; 68.05, 36, B57 &gt; 51.29, 40, B57 &gt; 37.56, 44, B57 &gt; 26.11, 48, B57 &gt; 16.42, 52, B57 &gt; 8.1, 56, B57 &gt;= 0, 60, B57 &lt; 0 , 60)</f>
        <v>40</v>
      </c>
      <c r="C39" s="97">
        <f t="shared" si="15"/>
        <v>40</v>
      </c>
      <c r="D39" s="97">
        <f t="shared" si="15"/>
        <v>36</v>
      </c>
      <c r="E39" s="97">
        <f t="shared" si="15"/>
        <v>36</v>
      </c>
      <c r="F39" s="97">
        <f t="shared" si="15"/>
        <v>36</v>
      </c>
      <c r="G39" s="97">
        <f t="shared" si="15"/>
        <v>36</v>
      </c>
      <c r="H39" s="97">
        <f t="shared" si="15"/>
        <v>36</v>
      </c>
      <c r="I39" s="97">
        <f t="shared" si="15"/>
        <v>36</v>
      </c>
      <c r="J39" s="97">
        <f t="shared" si="15"/>
        <v>36</v>
      </c>
      <c r="K39" s="97">
        <f t="shared" si="15"/>
        <v>36</v>
      </c>
      <c r="L39" s="97">
        <f t="shared" si="15"/>
        <v>36</v>
      </c>
      <c r="M39" s="97">
        <f t="shared" si="15"/>
        <v>36</v>
      </c>
      <c r="N39" s="97">
        <f t="shared" si="15"/>
        <v>36</v>
      </c>
      <c r="O39" s="97">
        <f t="shared" si="15"/>
        <v>36</v>
      </c>
      <c r="P39" s="97">
        <f t="shared" si="15"/>
        <v>36</v>
      </c>
      <c r="Q39" s="97">
        <f t="shared" si="15"/>
        <v>32</v>
      </c>
      <c r="R39" s="97">
        <f t="shared" si="15"/>
        <v>32</v>
      </c>
      <c r="S39" s="97">
        <f t="shared" si="15"/>
        <v>32</v>
      </c>
      <c r="T39" s="97">
        <f t="shared" si="15"/>
        <v>32</v>
      </c>
      <c r="U39" s="98">
        <f t="shared" si="15"/>
        <v>32</v>
      </c>
      <c r="V39" s="5"/>
    </row>
    <row r="40">
      <c r="A40" s="92" t="s">
        <v>219</v>
      </c>
      <c r="B40" s="96">
        <f t="shared" ref="B40:U40" si="16">IFS(B58 &gt; 272.5, 16, B58 &gt; 202.4, 20, B58 &gt; 151.81, 24, B58 &gt; 115.99, 28, B58 &gt; 89.04, 32, B58 &gt; 68.05, 36, B58 &gt; 51.29, 40, B58 &gt; 37.56, 44, B58 &gt; 26.11, 48, B58 &gt; 16.42, 52, B58 &gt; 8.1, 56, B58 &gt;= 0, 60, B58 &lt; 0 , 60)</f>
        <v>40</v>
      </c>
      <c r="C40" s="97">
        <f t="shared" si="16"/>
        <v>36</v>
      </c>
      <c r="D40" s="97">
        <f t="shared" si="16"/>
        <v>36</v>
      </c>
      <c r="E40" s="97">
        <f t="shared" si="16"/>
        <v>36</v>
      </c>
      <c r="F40" s="97">
        <f t="shared" si="16"/>
        <v>36</v>
      </c>
      <c r="G40" s="97">
        <f t="shared" si="16"/>
        <v>36</v>
      </c>
      <c r="H40" s="97">
        <f t="shared" si="16"/>
        <v>36</v>
      </c>
      <c r="I40" s="97">
        <f t="shared" si="16"/>
        <v>36</v>
      </c>
      <c r="J40" s="97">
        <f t="shared" si="16"/>
        <v>36</v>
      </c>
      <c r="K40" s="97">
        <f t="shared" si="16"/>
        <v>36</v>
      </c>
      <c r="L40" s="97">
        <f t="shared" si="16"/>
        <v>36</v>
      </c>
      <c r="M40" s="97">
        <f t="shared" si="16"/>
        <v>36</v>
      </c>
      <c r="N40" s="97">
        <f t="shared" si="16"/>
        <v>36</v>
      </c>
      <c r="O40" s="97">
        <f t="shared" si="16"/>
        <v>36</v>
      </c>
      <c r="P40" s="97">
        <f t="shared" si="16"/>
        <v>32</v>
      </c>
      <c r="Q40" s="97">
        <f t="shared" si="16"/>
        <v>32</v>
      </c>
      <c r="R40" s="97">
        <f t="shared" si="16"/>
        <v>32</v>
      </c>
      <c r="S40" s="97">
        <f t="shared" si="16"/>
        <v>32</v>
      </c>
      <c r="T40" s="97">
        <f t="shared" si="16"/>
        <v>32</v>
      </c>
      <c r="U40" s="98">
        <f t="shared" si="16"/>
        <v>32</v>
      </c>
      <c r="V40" s="5"/>
    </row>
    <row r="41">
      <c r="A41" s="92" t="s">
        <v>220</v>
      </c>
      <c r="B41" s="96">
        <f t="shared" ref="B41:U41" si="17">IFS(B59 &gt; 272.5, 16, B59 &gt; 202.4, 20, B59 &gt; 151.81, 24, B59 &gt; 115.99, 28, B59 &gt; 89.04, 32, B59 &gt; 68.05, 36, B59 &gt; 51.29, 40, B59 &gt; 37.56, 44, B59 &gt; 26.11, 48, B59 &gt; 16.42, 52, B59 &gt; 8.1, 56, B59 &gt;= 0, 60, B59 &lt; 0 , 60)</f>
        <v>36</v>
      </c>
      <c r="C41" s="97">
        <f t="shared" si="17"/>
        <v>36</v>
      </c>
      <c r="D41" s="97">
        <f t="shared" si="17"/>
        <v>36</v>
      </c>
      <c r="E41" s="97">
        <f t="shared" si="17"/>
        <v>36</v>
      </c>
      <c r="F41" s="97">
        <f t="shared" si="17"/>
        <v>36</v>
      </c>
      <c r="G41" s="97">
        <f t="shared" si="17"/>
        <v>36</v>
      </c>
      <c r="H41" s="97">
        <f t="shared" si="17"/>
        <v>36</v>
      </c>
      <c r="I41" s="97">
        <f t="shared" si="17"/>
        <v>36</v>
      </c>
      <c r="J41" s="97">
        <f t="shared" si="17"/>
        <v>36</v>
      </c>
      <c r="K41" s="97">
        <f t="shared" si="17"/>
        <v>36</v>
      </c>
      <c r="L41" s="97">
        <f t="shared" si="17"/>
        <v>36</v>
      </c>
      <c r="M41" s="97">
        <f t="shared" si="17"/>
        <v>32</v>
      </c>
      <c r="N41" s="97">
        <f t="shared" si="17"/>
        <v>32</v>
      </c>
      <c r="O41" s="97">
        <f t="shared" si="17"/>
        <v>32</v>
      </c>
      <c r="P41" s="97">
        <f t="shared" si="17"/>
        <v>32</v>
      </c>
      <c r="Q41" s="97">
        <f t="shared" si="17"/>
        <v>32</v>
      </c>
      <c r="R41" s="97">
        <f t="shared" si="17"/>
        <v>32</v>
      </c>
      <c r="S41" s="97">
        <f t="shared" si="17"/>
        <v>32</v>
      </c>
      <c r="T41" s="97">
        <f t="shared" si="17"/>
        <v>32</v>
      </c>
      <c r="U41" s="98">
        <f t="shared" si="17"/>
        <v>32</v>
      </c>
      <c r="V41" s="5"/>
    </row>
    <row r="42">
      <c r="A42" s="92" t="s">
        <v>221</v>
      </c>
      <c r="B42" s="96">
        <f t="shared" ref="B42:U42" si="18">IFS(B60 &gt; 272.5, 16, B60 &gt; 202.4, 20, B60 &gt; 151.81, 24, B60 &gt; 115.99, 28, B60 &gt; 89.04, 32, B60 &gt; 68.05, 36, B60 &gt; 51.29, 40, B60 &gt; 37.56, 44, B60 &gt; 26.11, 48, B60 &gt; 16.42, 52, B60 &gt; 8.1, 56, B60 &gt;= 0, 60, B60 &lt; 0 , 60)</f>
        <v>36</v>
      </c>
      <c r="C42" s="97">
        <f t="shared" si="18"/>
        <v>36</v>
      </c>
      <c r="D42" s="97">
        <f t="shared" si="18"/>
        <v>36</v>
      </c>
      <c r="E42" s="97">
        <f t="shared" si="18"/>
        <v>36</v>
      </c>
      <c r="F42" s="97">
        <f t="shared" si="18"/>
        <v>36</v>
      </c>
      <c r="G42" s="97">
        <f t="shared" si="18"/>
        <v>36</v>
      </c>
      <c r="H42" s="97">
        <f t="shared" si="18"/>
        <v>36</v>
      </c>
      <c r="I42" s="97">
        <f t="shared" si="18"/>
        <v>36</v>
      </c>
      <c r="J42" s="97">
        <f t="shared" si="18"/>
        <v>36</v>
      </c>
      <c r="K42" s="97">
        <f t="shared" si="18"/>
        <v>32</v>
      </c>
      <c r="L42" s="97">
        <f t="shared" si="18"/>
        <v>32</v>
      </c>
      <c r="M42" s="97">
        <f t="shared" si="18"/>
        <v>32</v>
      </c>
      <c r="N42" s="97">
        <f t="shared" si="18"/>
        <v>32</v>
      </c>
      <c r="O42" s="97">
        <f t="shared" si="18"/>
        <v>32</v>
      </c>
      <c r="P42" s="97">
        <f t="shared" si="18"/>
        <v>32</v>
      </c>
      <c r="Q42" s="97">
        <f t="shared" si="18"/>
        <v>32</v>
      </c>
      <c r="R42" s="97">
        <f t="shared" si="18"/>
        <v>32</v>
      </c>
      <c r="S42" s="97">
        <f t="shared" si="18"/>
        <v>32</v>
      </c>
      <c r="T42" s="97">
        <f t="shared" si="18"/>
        <v>32</v>
      </c>
      <c r="U42" s="98">
        <f t="shared" si="18"/>
        <v>32</v>
      </c>
      <c r="V42" s="5"/>
    </row>
    <row r="43">
      <c r="A43" s="92" t="s">
        <v>222</v>
      </c>
      <c r="B43" s="96">
        <f t="shared" ref="B43:U43" si="19">IFS(B61 &gt; 272.5, 16, B61 &gt; 202.4, 20, B61 &gt; 151.81, 24, B61 &gt; 115.99, 28, B61 &gt; 89.04, 32, B61 &gt; 68.05, 36, B61 &gt; 51.29, 40, B61 &gt; 37.56, 44, B61 &gt; 26.11, 48, B61 &gt; 16.42, 52, B61 &gt; 8.1, 56, B61 &gt;= 0, 60, B61 &lt; 0 , 60)</f>
        <v>36</v>
      </c>
      <c r="C43" s="97">
        <f t="shared" si="19"/>
        <v>36</v>
      </c>
      <c r="D43" s="97">
        <f t="shared" si="19"/>
        <v>36</v>
      </c>
      <c r="E43" s="97">
        <f t="shared" si="19"/>
        <v>36</v>
      </c>
      <c r="F43" s="97">
        <f t="shared" si="19"/>
        <v>36</v>
      </c>
      <c r="G43" s="97">
        <f t="shared" si="19"/>
        <v>32</v>
      </c>
      <c r="H43" s="97">
        <f t="shared" si="19"/>
        <v>32</v>
      </c>
      <c r="I43" s="97">
        <f t="shared" si="19"/>
        <v>32</v>
      </c>
      <c r="J43" s="97">
        <f t="shared" si="19"/>
        <v>32</v>
      </c>
      <c r="K43" s="97">
        <f t="shared" si="19"/>
        <v>32</v>
      </c>
      <c r="L43" s="97">
        <f t="shared" si="19"/>
        <v>32</v>
      </c>
      <c r="M43" s="97">
        <f t="shared" si="19"/>
        <v>32</v>
      </c>
      <c r="N43" s="97">
        <f t="shared" si="19"/>
        <v>32</v>
      </c>
      <c r="O43" s="97">
        <f t="shared" si="19"/>
        <v>32</v>
      </c>
      <c r="P43" s="97">
        <f t="shared" si="19"/>
        <v>32</v>
      </c>
      <c r="Q43" s="97">
        <f t="shared" si="19"/>
        <v>32</v>
      </c>
      <c r="R43" s="97">
        <f t="shared" si="19"/>
        <v>32</v>
      </c>
      <c r="S43" s="97">
        <f t="shared" si="19"/>
        <v>32</v>
      </c>
      <c r="T43" s="97">
        <f t="shared" si="19"/>
        <v>32</v>
      </c>
      <c r="U43" s="98">
        <f t="shared" si="19"/>
        <v>28</v>
      </c>
      <c r="V43" s="5"/>
    </row>
    <row r="44">
      <c r="A44" s="92" t="s">
        <v>223</v>
      </c>
      <c r="B44" s="99">
        <f t="shared" ref="B44:U44" si="20">IFS(B62 &gt; 272.5, 16, B62 &gt; 202.4, 20, B62 &gt; 151.81, 24, B62 &gt; 115.99, 28, B62 &gt; 89.04, 32, B62 &gt; 68.05, 36, B62 &gt; 51.29, 40, B62 &gt; 37.56, 44, B62 &gt; 26.11, 48, B62 &gt; 16.42, 52, B62 &gt; 8.1, 56, B62 &gt;= 0, 60, B62 &lt; 0 , 60)</f>
        <v>36</v>
      </c>
      <c r="C44" s="100">
        <f t="shared" si="20"/>
        <v>36</v>
      </c>
      <c r="D44" s="100">
        <f t="shared" si="20"/>
        <v>36</v>
      </c>
      <c r="E44" s="100">
        <f t="shared" si="20"/>
        <v>32</v>
      </c>
      <c r="F44" s="100">
        <f t="shared" si="20"/>
        <v>32</v>
      </c>
      <c r="G44" s="100">
        <f t="shared" si="20"/>
        <v>32</v>
      </c>
      <c r="H44" s="100">
        <f t="shared" si="20"/>
        <v>32</v>
      </c>
      <c r="I44" s="100">
        <f t="shared" si="20"/>
        <v>32</v>
      </c>
      <c r="J44" s="100">
        <f t="shared" si="20"/>
        <v>32</v>
      </c>
      <c r="K44" s="100">
        <f t="shared" si="20"/>
        <v>32</v>
      </c>
      <c r="L44" s="100">
        <f t="shared" si="20"/>
        <v>32</v>
      </c>
      <c r="M44" s="100">
        <f t="shared" si="20"/>
        <v>32</v>
      </c>
      <c r="N44" s="100">
        <f t="shared" si="20"/>
        <v>32</v>
      </c>
      <c r="O44" s="100">
        <f t="shared" si="20"/>
        <v>32</v>
      </c>
      <c r="P44" s="100">
        <f t="shared" si="20"/>
        <v>32</v>
      </c>
      <c r="Q44" s="100">
        <f t="shared" si="20"/>
        <v>32</v>
      </c>
      <c r="R44" s="100">
        <f t="shared" si="20"/>
        <v>32</v>
      </c>
      <c r="S44" s="100">
        <f t="shared" si="20"/>
        <v>32</v>
      </c>
      <c r="T44" s="100">
        <f t="shared" si="20"/>
        <v>28</v>
      </c>
      <c r="U44" s="101">
        <f t="shared" si="20"/>
        <v>28</v>
      </c>
      <c r="V44" s="5"/>
    </row>
    <row r="45" collapsed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27"/>
      <c r="R45" s="5"/>
      <c r="S45" s="27"/>
      <c r="T45" s="27"/>
      <c r="U45" s="27"/>
      <c r="V45" s="5"/>
    </row>
    <row r="46" hidden="1" outlineLevel="1">
      <c r="A46" s="102" t="s">
        <v>224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/>
      <c r="V46" s="5"/>
    </row>
    <row r="47" hidden="1" outlineLevel="1">
      <c r="A47" s="105"/>
      <c r="B47" s="106" t="s">
        <v>189</v>
      </c>
      <c r="C47" s="107" t="s">
        <v>190</v>
      </c>
      <c r="D47" s="107" t="s">
        <v>191</v>
      </c>
      <c r="E47" s="107" t="s">
        <v>192</v>
      </c>
      <c r="F47" s="107" t="s">
        <v>193</v>
      </c>
      <c r="G47" s="107" t="s">
        <v>194</v>
      </c>
      <c r="H47" s="107" t="s">
        <v>195</v>
      </c>
      <c r="I47" s="107" t="s">
        <v>196</v>
      </c>
      <c r="J47" s="107" t="s">
        <v>197</v>
      </c>
      <c r="K47" s="107" t="s">
        <v>198</v>
      </c>
      <c r="L47" s="107" t="s">
        <v>199</v>
      </c>
      <c r="M47" s="107" t="s">
        <v>200</v>
      </c>
      <c r="N47" s="107" t="s">
        <v>201</v>
      </c>
      <c r="O47" s="107" t="s">
        <v>202</v>
      </c>
      <c r="P47" s="107" t="s">
        <v>203</v>
      </c>
      <c r="Q47" s="107" t="s">
        <v>204</v>
      </c>
      <c r="R47" s="107" t="s">
        <v>205</v>
      </c>
      <c r="S47" s="107" t="s">
        <v>206</v>
      </c>
      <c r="T47" s="107" t="s">
        <v>207</v>
      </c>
      <c r="U47" s="107" t="s">
        <v>208</v>
      </c>
      <c r="V47" s="5"/>
    </row>
    <row r="48" hidden="1" outlineLevel="1">
      <c r="A48" s="108" t="s">
        <v>209</v>
      </c>
      <c r="B48" s="109">
        <f>($B$5+$B$6+IF(OR($B$10,$C$10),25))*(1+$B$7)</f>
        <v>10</v>
      </c>
      <c r="C48" s="110">
        <f>($B$5+$B$6+IF(OR($B$10,$C$10),25)+2)*(1+$B$7)</f>
        <v>12</v>
      </c>
      <c r="D48" s="110">
        <f>($B$5+$B$6+IF(OR($B$10,$C$10),25)+4)*(1+$B$7)</f>
        <v>14</v>
      </c>
      <c r="E48" s="110">
        <f>($B$5+$B$6+IF(OR($B$10,$C$10),25)+8)*(1+$B$7)</f>
        <v>18</v>
      </c>
      <c r="F48" s="110">
        <f>($B$5+$B$6+IF(OR($B$10,$C$10),25)+8.75)*(1+$B$7)</f>
        <v>18.75</v>
      </c>
      <c r="G48" s="110">
        <f>($B$5+$B$6+IF(OR($B$10,$C$10),25)+IF(OR($B$13,$C$13),25)+10.5)*(1+$B$7)</f>
        <v>20.5</v>
      </c>
      <c r="H48" s="110">
        <f>($B$5+$B$6+IF(OR($B$10,$C$10),25)+10.75)*(1+$B$7)</f>
        <v>20.75</v>
      </c>
      <c r="I48" s="110">
        <f>($B$5+$B$6+IF(OR($B$10,$C$10),25)+IF(OR($B$13,$C$13),25)+12.5)*(1+$B$7)</f>
        <v>22.5</v>
      </c>
      <c r="J48" s="110">
        <f>($B$5+$B$6+IF(OR($B$10,$C$10),25)+12.75)*(1+$B$7)</f>
        <v>22.75</v>
      </c>
      <c r="K48" s="110">
        <f>($B$5+$B$6+IF(OR($B$10,$C$10),25)+IF(OR($B$13,$C$13),25)+14.5)*(1+$B$7)</f>
        <v>24.5</v>
      </c>
      <c r="L48" s="110">
        <f>($B$5+$B$6+IF(OR($B$10,$C$10),25)+16.75)*(1+$B$7)</f>
        <v>26.75</v>
      </c>
      <c r="M48" s="110">
        <f>($B$5+$B$6+IF(OR($B$10,$C$10),25)+IF(OR($B$13,$C$13),25)+18.5)*(1+$B$7)</f>
        <v>28.5</v>
      </c>
      <c r="N48" s="110">
        <f>($B$5+$B$6+IF(OR($B$10,$C$10),25)+IF(OR($B$13,$C$13),25)+19.25)*(1+$B$7)</f>
        <v>29.25</v>
      </c>
      <c r="O48" s="110">
        <f>($B$5+$B$6+IF(OR($B$10,$C$10),25)+IF(OR($B$13,$C$13),25)+21.25)*(1+$B$7)</f>
        <v>31.25</v>
      </c>
      <c r="P48" s="110">
        <f>($B$5+$B$6+IF(OR($B$10,$C$10),25)+IF(OR($B$13,$C$13),25)+23.25)*(1+$B$7)</f>
        <v>33.25</v>
      </c>
      <c r="Q48" s="110">
        <f>($B$5+$B$6+IF(OR($B$10,$C$10),25)+IF(OR($B$13,$C$13),25)+27.25)*(1+$B$7)</f>
        <v>37.25</v>
      </c>
      <c r="R48" s="110">
        <f>($B$5+$B$6+IF(OR($B$10,$C$10),25)+IF(OR($B$13,$C$13),25)+28)*(1+$B$7)</f>
        <v>38</v>
      </c>
      <c r="S48" s="110">
        <f>($B$5+$B$6+IF(OR($B$10,$C$10),25)+IF(OR($B$13,$C$13),25)+30)*(1+$B$7)</f>
        <v>40</v>
      </c>
      <c r="T48" s="110">
        <f>($B$5+$B$6+IF(OR($B$10,$C$10),25)+IF(OR($B$13,$C$13),25)+32)*(1+$B$7)</f>
        <v>42</v>
      </c>
      <c r="U48" s="111">
        <f>($B$5+$B$6+IF(OR($B$10,$C$10),25)+IF(OR($B$13,$C$13),25)+36)*(1+$B$7)</f>
        <v>46</v>
      </c>
      <c r="V48" s="5"/>
    </row>
    <row r="49" hidden="1" outlineLevel="1">
      <c r="A49" s="108" t="s">
        <v>210</v>
      </c>
      <c r="B49" s="112">
        <f>($C$5+$C$6+IF(OR($B$10,$C$10),25))*(1+$C$7)</f>
        <v>11.42</v>
      </c>
      <c r="C49" s="113">
        <f>($C$5+$C$6+IF(OR($B$10,$C$10),25)+2)*(1+$C$7)</f>
        <v>13.42</v>
      </c>
      <c r="D49" s="113">
        <f>($C$5+$C$6+IF(OR($B$10,$C$10),25)+4)*(1+$C$7)</f>
        <v>15.42</v>
      </c>
      <c r="E49" s="113">
        <f>($C$5+$C$6+IF(OR($B$10,$C$10),25)+8)*(1+$C$7)</f>
        <v>19.42</v>
      </c>
      <c r="F49" s="113">
        <f>($C$5+$C$6+IF(OR($B$10,$C$10),25)+8.75)*(1+$C$7)</f>
        <v>20.17</v>
      </c>
      <c r="G49" s="113">
        <f>($C$5+$C$6+IF(OR($B$10,$C$10),25)+IF(OR($B$13,$C$13),25)+10.5)*(1+$C$7)</f>
        <v>21.92</v>
      </c>
      <c r="H49" s="113">
        <f>($C$5+$C$6+IF(OR($B$10,$C$10),25)+10.75)*(1+$C$7)</f>
        <v>22.17</v>
      </c>
      <c r="I49" s="113">
        <f>($C$5+$C$6+IF(OR($B$10,$C$10),25)+IF(OR($B$13,$C$13),25)+12.5)*(1+$C$7)</f>
        <v>23.92</v>
      </c>
      <c r="J49" s="113">
        <f>($C$5+$C$6+IF(OR($B$10,$C$10),25)+12.75)*(1+$C$7)</f>
        <v>24.17</v>
      </c>
      <c r="K49" s="113">
        <f>($C$5+$C$6+IF(OR($B$10,$C$10),25)+IF(OR($B$13,$C$13),25)+14.5)*(1+$C$7)</f>
        <v>25.92</v>
      </c>
      <c r="L49" s="113">
        <f>($C$5+$C$6+IF(OR($B$10,$C$10),25)+16.75)*(1+$C$7)</f>
        <v>28.17</v>
      </c>
      <c r="M49" s="113">
        <f>($C$5+$C$6+IF(OR($B$10,$C$10),25)+IF(OR($B$13,$C$13),25)+18.5)*(1+$C$7)</f>
        <v>29.92</v>
      </c>
      <c r="N49" s="113">
        <f>($C$5+$C$6+IF(OR($B$10,$C$10),25)+IF(OR($B$13,$C$13),25)+19.25)*(1+$C$7)</f>
        <v>30.67</v>
      </c>
      <c r="O49" s="113">
        <f>($C$5+$C$6+IF(OR($B$10,$C$10),25)+IF(OR($B$13,$C$13),25)+21.25)*(1+$C$7)</f>
        <v>32.67</v>
      </c>
      <c r="P49" s="113">
        <f>($C$5+$C$6+IF(OR($B$10,$C$10),25)+IF(OR($B$13,$C$13),25)+23.25)*(1+$C$7)</f>
        <v>34.67</v>
      </c>
      <c r="Q49" s="113">
        <f>($C$5+$C$6+IF(OR($B$10,$C$10),25)+IF(OR($B$13,$C$13),25)+27.25)*(1+$C$7)</f>
        <v>38.67</v>
      </c>
      <c r="R49" s="113">
        <f>($C$5+$C$6+IF(OR($B$10,$C$10),25)+IF(OR($B$13,$C$13),25)+28)*(1+$C$7)</f>
        <v>39.42</v>
      </c>
      <c r="S49" s="113">
        <f>($C$5+$C$6+IF(OR($B$10,$C$10),25)+IF(OR($B$13,$C$13),25)+30)*(1+$C$7)</f>
        <v>41.42</v>
      </c>
      <c r="T49" s="113">
        <f>($C$5+$C$6+IF(OR($B$10,$C$10),25)+IF(OR($B$13,$C$13),25)+32)*(1+$C$7)</f>
        <v>43.42</v>
      </c>
      <c r="U49" s="114">
        <f>($C$5+$C$6+IF(OR($B$10,$C$10),25)+IF(OR($B$13,$C$13),25)+36)*(1+$C$7)</f>
        <v>47.42</v>
      </c>
      <c r="V49" s="5"/>
    </row>
    <row r="50" hidden="1" outlineLevel="1">
      <c r="A50" s="108" t="s">
        <v>211</v>
      </c>
      <c r="B50" s="112">
        <f>($D$5+$D$6+IF(OR($B$10,$C$10),25))*(1+$D$7)</f>
        <v>12.99</v>
      </c>
      <c r="C50" s="113">
        <f>($D$5+$D$6+IF(OR($B$10,$C$10),25)+2)*(1+$D$7)</f>
        <v>14.99</v>
      </c>
      <c r="D50" s="113">
        <f>($D$5+$D$6+IF(OR($B$10,$C$10),25)+4)*(1+$D$7)</f>
        <v>16.99</v>
      </c>
      <c r="E50" s="113">
        <f>($D$5+$D$6+IF(OR($B$10,$C$10),25)+8)*(1+$D$7)</f>
        <v>20.99</v>
      </c>
      <c r="F50" s="113">
        <f>($D$5+$D$6+IF(OR($B$10,$C$10),25)+8.75)*(1+$D$7)</f>
        <v>21.74</v>
      </c>
      <c r="G50" s="113">
        <f>($D$5+$D$6+IF(OR($B$10,$C$10),25)+IF(OR($B$13,$C$13),25)+10.5)*(1+$D$7)</f>
        <v>23.49</v>
      </c>
      <c r="H50" s="113">
        <f>($D$5+$D$6+IF(OR($B$10,$C$10),25)+10.75)*(1+$D$7)</f>
        <v>23.74</v>
      </c>
      <c r="I50" s="113">
        <f>($D$5+$D$6+IF(OR($B$10,$C$10),25)+IF(OR($B$13,$C$13),25)+12.5)*(1+$D$7)</f>
        <v>25.49</v>
      </c>
      <c r="J50" s="113">
        <f>($D$5+$D$6+IF(OR($B$10,$C$10),25)+12.75)*(1+$D$7)</f>
        <v>25.74</v>
      </c>
      <c r="K50" s="113">
        <f>($D$5+$D$6+IF(OR($B$10,$C$10),25)+IF(OR($B$13,$C$13),25)+14.5)*(1+$D$7)</f>
        <v>27.49</v>
      </c>
      <c r="L50" s="113">
        <f>($D$5+$D$6+IF(OR($B$10,$C$10),25)+16.75)*(1+$D$7)</f>
        <v>29.74</v>
      </c>
      <c r="M50" s="113">
        <f>($D$5+$D$6+IF(OR($B$10,$C$10),25)+IF(OR($B$13,$C$13),25)+18.5)*(1+$D$7)</f>
        <v>31.49</v>
      </c>
      <c r="N50" s="113">
        <f>($D$5+$D$6+IF(OR($B$10,$C$10),25)+IF(OR($B$13,$C$13),25)+19.25)*(1+$D$7)</f>
        <v>32.24</v>
      </c>
      <c r="O50" s="113">
        <f>($D$5+$D$6+IF(OR($B$10,$C$10),25)+IF(OR($B$13,$C$13),25)+21.25)*(1+$D$7)</f>
        <v>34.24</v>
      </c>
      <c r="P50" s="113">
        <f>($D$5+$D$6+IF(OR($B$10,$C$10),25)+IF(OR($B$13,$C$13),25)+23.25)*(1+$D$7)</f>
        <v>36.24</v>
      </c>
      <c r="Q50" s="113">
        <f>($D$5+$D$6+IF(OR($B$10,$C$10),25)+IF(OR($B$13,$C$13),25)+27.25)*(1+$D$7)</f>
        <v>40.24</v>
      </c>
      <c r="R50" s="113">
        <f>($D$5+$D$6+IF(OR($B$10,$C$10),25)+IF(OR($B$13,$C$13),25)+28)*(1+$D$7)</f>
        <v>40.99</v>
      </c>
      <c r="S50" s="113">
        <f>($D$5+$D$6+IF(OR($B$10,$C$10),25)+IF(OR($B$13,$C$13),25)+30)*(1+$D$7)</f>
        <v>42.99</v>
      </c>
      <c r="T50" s="113">
        <f>($D$5+$D$6+IF(OR($B$10,$C$10),25)+IF(OR($B$13,$C$13),25)+32)*(1+$D$7)</f>
        <v>44.99</v>
      </c>
      <c r="U50" s="114">
        <f>($D$5+$D$6+IF(OR($B$10,$C$10),25)+IF(OR($B$13,$C$13),25)+36)*(1+$D$7)</f>
        <v>48.99</v>
      </c>
      <c r="V50" s="5"/>
    </row>
    <row r="51" hidden="1" outlineLevel="1">
      <c r="A51" s="108" t="s">
        <v>212</v>
      </c>
      <c r="B51" s="112">
        <f>($E$5+$E$6+IF(OR($B$10,$C$10),25))*(1+$E$7)</f>
        <v>14.71</v>
      </c>
      <c r="C51" s="113">
        <f>($E$5+$E$6+IF(OR($B$10,$C$10),25)+2)*(1+$E$7)</f>
        <v>16.71</v>
      </c>
      <c r="D51" s="113">
        <f>($E$5+$E$6+IF(OR($B$10,$C$10),25)+4)*(1+$E$7)</f>
        <v>18.71</v>
      </c>
      <c r="E51" s="113">
        <f>($E$5+$E$6+IF(OR($B$10,$C$10),25)+8)*(1+$E$7)</f>
        <v>22.71</v>
      </c>
      <c r="F51" s="113">
        <f>($E$5+$E$6+IF(OR($B$10,$C$10),25)+8.75)*(1+$E$7)</f>
        <v>23.46</v>
      </c>
      <c r="G51" s="113">
        <f>($E$5+$E$6+IF(OR($B$10,$C$10),25)+IF(OR($B$13,$C$13),25)+10.5)*(1+$E$7)</f>
        <v>25.21</v>
      </c>
      <c r="H51" s="113">
        <f>($E$5+$E$6+IF(OR($B$10,$C$10),25)+10.75)*(1+$E$7)</f>
        <v>25.46</v>
      </c>
      <c r="I51" s="113">
        <f>($E$5+$E$6+IF(OR($B$10,$C$10),25)+IF(OR($B$13,$C$13),25)+12.5)*(1+$E$7)</f>
        <v>27.21</v>
      </c>
      <c r="J51" s="113">
        <f>($E$5+$E$6+IF(OR($B$10,$C$10),25)+12.75)*(1+$E$7)</f>
        <v>27.46</v>
      </c>
      <c r="K51" s="113">
        <f>($E$5+$E$6+IF(OR($B$10,$C$10),25)+IF(OR($B$13,$C$13),25)+14.5)*(1+$E$7)</f>
        <v>29.21</v>
      </c>
      <c r="L51" s="113">
        <f>($E$5+$E$6+IF(OR($B$10,$C$10),25)+16.75)*(1+$E$7)</f>
        <v>31.46</v>
      </c>
      <c r="M51" s="113">
        <f>($E$5+$E$6+IF(OR($B$10,$C$10),25)+IF(OR($B$13,$C$13),25)+18.5)*(1+$E$7)</f>
        <v>33.21</v>
      </c>
      <c r="N51" s="113">
        <f>($E$5+$E$6+IF(OR($B$10,$C$10),25)+IF(OR($B$13,$C$13),25)+19.25)*(1+$E$7)</f>
        <v>33.96</v>
      </c>
      <c r="O51" s="113">
        <f>($E$5+$E$6+IF(OR($B$10,$C$10),25)+IF(OR($B$13,$C$13),25)+21.25)*(1+$E$7)</f>
        <v>35.96</v>
      </c>
      <c r="P51" s="113">
        <f>($E$5+$E$6+IF(OR($B$10,$C$10),25)+IF(OR($B$13,$C$13),25)+23.25)*(1+$E$7)</f>
        <v>37.96</v>
      </c>
      <c r="Q51" s="113">
        <f>($E$5+$E$6+IF(OR($B$10,$C$10),25)+IF(OR($B$13,$C$13),25)+27.25)*(1+$E$7)</f>
        <v>41.96</v>
      </c>
      <c r="R51" s="113">
        <f>($E$5+$E$6+IF(OR($B$10,$C$10),25)+IF(OR($B$13,$C$13),25)+28)*(1+$E$7)</f>
        <v>42.71</v>
      </c>
      <c r="S51" s="113">
        <f>($E$5+$E$6+IF(OR($B$10,$C$10),25)+IF(OR($B$13,$C$13),25)+30)*(1+$E$7)</f>
        <v>44.71</v>
      </c>
      <c r="T51" s="113">
        <f>($E$5+$E$6+IF(OR($B$10,$C$10),25)+IF(OR($B$13,$C$13),25)+32)*(1+$E$7)</f>
        <v>46.71</v>
      </c>
      <c r="U51" s="114">
        <f>($E$5+$E$6+IF(OR($B$10,$C$10),25)+IF(OR($B$13,$C$13),25)+36)*(1+$E$7)</f>
        <v>50.71</v>
      </c>
      <c r="V51" s="5"/>
    </row>
    <row r="52" hidden="1" outlineLevel="1">
      <c r="A52" s="108" t="s">
        <v>213</v>
      </c>
      <c r="B52" s="112">
        <f>($F$5+$F$6+IF(OR($B$10,$C$10),25))*(1+$F$7)</f>
        <v>51.6</v>
      </c>
      <c r="C52" s="113">
        <f>($F$5+$F$6+IF(OR($B$10,$C$10),25)+2)*(1+$F$7)</f>
        <v>53.6</v>
      </c>
      <c r="D52" s="113">
        <f>($F$5+$F$6+IF(OR($B$10,$C$10),25)+4)*(1+$F$7)</f>
        <v>55.6</v>
      </c>
      <c r="E52" s="113">
        <f>($F$5+$F$6+IF(OR($B$10,$C$10),25)+8)*(1+$F$7)</f>
        <v>59.6</v>
      </c>
      <c r="F52" s="113">
        <f>($F$5+$F$6+IF(OR($B$10,$C$10),25)+8.75)*(1+$F$7)</f>
        <v>60.35</v>
      </c>
      <c r="G52" s="113">
        <f>($F$5+$F$6+IF(OR($B$10,$C$10),25)+IF(OR($B$13,$C$13),25)+10.5)*(1+$F$7)</f>
        <v>62.1</v>
      </c>
      <c r="H52" s="113">
        <f>($F$5+$F$6+IF(OR($B$10,$C$10),25)+10.75)*(1+$F$7)</f>
        <v>62.35</v>
      </c>
      <c r="I52" s="113">
        <f>($F$5+$F$6+IF(OR($B$10,$C$10),25)+IF(OR($B$13,$C$13),25)+12.5)*(1+$F$7)</f>
        <v>64.1</v>
      </c>
      <c r="J52" s="113">
        <f>($F$5+$F$6+IF(OR($B$10,$C$10),25)+12.75)*(1+$F$7)</f>
        <v>64.35</v>
      </c>
      <c r="K52" s="113">
        <f>($F$5+$F$6+IF(OR($B$10,$C$10),25)+IF(OR($B$13,$C$13),25)+14.5)*(1+$F$7)</f>
        <v>66.1</v>
      </c>
      <c r="L52" s="113">
        <f>($F$5+$F$6+IF(OR($B$10,$C$10),25)+16.75)*(1+$F$7)</f>
        <v>68.35</v>
      </c>
      <c r="M52" s="113">
        <f>($F$5+$F$6+IF(OR($B$10,$C$10),25)+IF(OR($B$13,$C$13),25)+18.5)*(1+$F$7)</f>
        <v>70.1</v>
      </c>
      <c r="N52" s="113">
        <f>($F$5+$F$6+IF(OR($B$10,$C$10),25)+IF(OR($B$13,$C$13),25)+19.25)*(1+$F$7)</f>
        <v>70.85</v>
      </c>
      <c r="O52" s="113">
        <f>($F$5+$F$6+IF(OR($B$10,$C$10),25)+IF(OR($B$13,$C$13),25)+21.25)*(1+$F$7)</f>
        <v>72.85</v>
      </c>
      <c r="P52" s="113">
        <f>($F$5+$F$6+IF(OR($B$10,$C$10),25)+IF(OR($B$13,$C$13),25)+23.25)*(1+$F$7)</f>
        <v>74.85</v>
      </c>
      <c r="Q52" s="113">
        <f>($F$5+$F$6+IF(OR($B$10,$C$10),25)+IF(OR($B$13,$C$13),25)+27.25)*(1+$F$7)</f>
        <v>78.85</v>
      </c>
      <c r="R52" s="113">
        <f>($F$5+$F$6+IF(OR($B$10,$C$10),25)+IF(OR($B$13,$C$13),25)+28)*(1+$F$7)</f>
        <v>79.6</v>
      </c>
      <c r="S52" s="113">
        <f>($F$5+$F$6+IF(OR($B$10,$C$10),25)+IF(OR($B$13,$C$13),25)+30)*(1+$F$7)</f>
        <v>81.6</v>
      </c>
      <c r="T52" s="113">
        <f>($F$5+$F$6+IF(OR($B$10,$C$10),25)+IF(OR($B$13,$C$13),25)+32)*(1+$F$7)</f>
        <v>83.6</v>
      </c>
      <c r="U52" s="114">
        <f>($F$5+$F$6+IF(OR($B$10,$C$10),25)+IF(OR($B$13,$C$13),25)+36)*(1+$F$7)</f>
        <v>87.6</v>
      </c>
      <c r="V52" s="5"/>
    </row>
    <row r="53" hidden="1" outlineLevel="1">
      <c r="A53" s="108" t="s">
        <v>214</v>
      </c>
      <c r="B53" s="112">
        <f>($G$5+$G$6+IF(OR($B$10,$C$10),25))*(1+$G$7)</f>
        <v>53.68</v>
      </c>
      <c r="C53" s="113">
        <f>($G$5+$G$6+IF(OR($B$10,$C$10),25)+2)*(1+$G$7)</f>
        <v>55.68</v>
      </c>
      <c r="D53" s="113">
        <f>($G$5+$G$6+IF(OR($B$10,$C$10),25)+4)*(1+$G$7)</f>
        <v>57.68</v>
      </c>
      <c r="E53" s="113">
        <f>($G$5+$G$6+IF(OR($B$10,$C$10),25)+8)*(1+$G$7)</f>
        <v>61.68</v>
      </c>
      <c r="F53" s="113">
        <f>($G$5+$G$6+IF(OR($B$10,$C$10),25)+8.75)*(1+$G$7)</f>
        <v>62.43</v>
      </c>
      <c r="G53" s="113">
        <f>($G$5+$G$6+IF(OR($B$10,$C$10),25)+IF(OR($B$13,$C$13),25)+10.5)*(1+$G$7)</f>
        <v>64.18</v>
      </c>
      <c r="H53" s="113">
        <f>($G$5+$G$6+IF(OR($B$10,$C$10),25)+10.75)*(1+$G$7)</f>
        <v>64.43</v>
      </c>
      <c r="I53" s="113">
        <f>($G$5+$G$6+IF(OR($B$10,$C$10),25)+IF(OR($B$13,$C$13),25)+12.5)*(1+$G$7)</f>
        <v>66.18</v>
      </c>
      <c r="J53" s="113">
        <f>($G$5+$G$6+IF(OR($B$10,$C$10),25)+12.75)*(1+$G$7)</f>
        <v>66.43</v>
      </c>
      <c r="K53" s="113">
        <f>($G$5+$G$6+IF(OR($B$10,$C$10),25)+IF(OR($B$13,$C$13),25)+14.5)*(1+$G$7)</f>
        <v>68.18</v>
      </c>
      <c r="L53" s="113">
        <f>($G$5+$G$6+IF(OR($B$10,$C$10),25)+16.75)*(1+$G$7)</f>
        <v>70.43</v>
      </c>
      <c r="M53" s="113">
        <f>($G$5+$G$6+IF(OR($B$10,$C$10),25)+IF(OR($B$13,$C$13),25)+18.5)*(1+$G$7)</f>
        <v>72.18</v>
      </c>
      <c r="N53" s="113">
        <f>($G$5+$G$6+IF(OR($B$10,$C$10),25)+IF(OR($B$13,$C$13),25)+19.25)*(1+$G$7)</f>
        <v>72.93</v>
      </c>
      <c r="O53" s="113">
        <f>($G$5+$G$6+IF(OR($B$10,$C$10),25)+IF(OR($B$13,$C$13),25)+21.25)*(1+$G$7)</f>
        <v>74.93</v>
      </c>
      <c r="P53" s="113">
        <f>($G$5+$G$6+IF(OR($B$10,$C$10),25)+IF(OR($B$13,$C$13),25)+23.25)*(1+$G$7)</f>
        <v>76.93</v>
      </c>
      <c r="Q53" s="113">
        <f>($G$5+$G$6+IF(OR($B$10,$C$10),25)+IF(OR($B$13,$C$13),25)+27.25)*(1+$G$7)</f>
        <v>80.93</v>
      </c>
      <c r="R53" s="113">
        <f>($G$5+$G$6+IF(OR($B$10,$C$10),25)+IF(OR($B$13,$C$13),25)+28)*(1+$G$7)</f>
        <v>81.68</v>
      </c>
      <c r="S53" s="113">
        <f>($G$5+$G$6+IF(OR($B$10,$C$10),25)+IF(OR($B$13,$C$13),25)+30)*(1+$G$7)</f>
        <v>83.68</v>
      </c>
      <c r="T53" s="113">
        <f>($G$5+$G$6+IF(OR($B$10,$C$10),25)+IF(OR($B$13,$C$13),25)+32)*(1+$G$7)</f>
        <v>85.68</v>
      </c>
      <c r="U53" s="114">
        <f>($G$5+$G$6+IF(OR($B$10,$C$10),25)+IF(OR($B$13,$C$13),25)+36)*(1+$G$7)</f>
        <v>89.68</v>
      </c>
      <c r="V53" s="5"/>
    </row>
    <row r="54" hidden="1" outlineLevel="1">
      <c r="A54" s="108" t="s">
        <v>215</v>
      </c>
      <c r="B54" s="112">
        <f>($H$5+$H$6+IF(OR($B$10,$C$10),25))*(1+$H$7)</f>
        <v>55.97</v>
      </c>
      <c r="C54" s="113">
        <f>($H$5+$H$6+IF(OR($B$10,$C$10),25)+2)*(1+$H$7)</f>
        <v>57.97</v>
      </c>
      <c r="D54" s="113">
        <f>($H$5+$H$6+IF(OR($B$10,$C$10),25)+4)*(1+$H$7)</f>
        <v>59.97</v>
      </c>
      <c r="E54" s="113">
        <f>($H$5+$H$6+IF(OR($B$10,$C$10),25)+8)*(1+$H$7)</f>
        <v>63.97</v>
      </c>
      <c r="F54" s="113">
        <f>($H$5+$H$6+IF(OR($B$10,$C$10),25)+8.75)*(1+$H$7)</f>
        <v>64.72</v>
      </c>
      <c r="G54" s="113">
        <f>($H$5+$H$6+IF(OR($B$10,$C$10),25)+IF(OR($B$13,$C$13),25)+10.5)*(1+$H$7)</f>
        <v>66.47</v>
      </c>
      <c r="H54" s="113">
        <f>($H$5+$H$6+IF(OR($B$10,$C$10),25)+10.75)*(1+$H$7)</f>
        <v>66.72</v>
      </c>
      <c r="I54" s="113">
        <f>($H$5+$H$6+IF(OR($B$10,$C$10),25)+IF(OR($B$13,$C$13),25)+12.5)*(1+$H$7)</f>
        <v>68.47</v>
      </c>
      <c r="J54" s="113">
        <f>($H$5+$H$6+IF(OR($B$10,$C$10),25)+12.75)*(1+$H$7)</f>
        <v>68.72</v>
      </c>
      <c r="K54" s="113">
        <f>($H$5+$H$6+IF(OR($B$10,$C$10),25)+IF(OR($B$13,$C$13),25)+14.5)*(1+$H$7)</f>
        <v>70.47</v>
      </c>
      <c r="L54" s="113">
        <f>($H$5+$H$6+IF(OR($B$10,$C$10),25)+16.75)*(1+$H$7)</f>
        <v>72.72</v>
      </c>
      <c r="M54" s="113">
        <f>($H$5+$H$6+IF(OR($B$10,$C$10),25)+IF(OR($B$13,$C$13),25)+18.5)*(1+$H$7)</f>
        <v>74.47</v>
      </c>
      <c r="N54" s="113">
        <f>($H$5+$H$6+IF(OR($B$10,$C$10),25)+IF(OR($B$13,$C$13),25)+19.25)*(1+$H$7)</f>
        <v>75.22</v>
      </c>
      <c r="O54" s="113">
        <f>($H$5+$H$6+IF(OR($B$10,$C$10),25)+IF(OR($B$13,$C$13),25)+21.25)*(1+$H$7)</f>
        <v>77.22</v>
      </c>
      <c r="P54" s="113">
        <f>($H$5+$H$6+IF(OR($B$10,$C$10),25)+IF(OR($B$13,$C$13),25)+23.25)*(1+$H$7)</f>
        <v>79.22</v>
      </c>
      <c r="Q54" s="113">
        <f>($H$5+$H$6+IF(OR($B$10,$C$10),25)+IF(OR($B$13,$C$13),25)+27.25)*(1+$H$7)</f>
        <v>83.22</v>
      </c>
      <c r="R54" s="113">
        <f>($H$5+$H$6+IF(OR($B$10,$C$10),25)+IF(OR($B$13,$C$13),25)+28)*(1+$H$7)</f>
        <v>83.97</v>
      </c>
      <c r="S54" s="113">
        <f>($H$5+$H$6+IF(OR($B$10,$C$10),25)+IF(OR($B$13,$C$13),25)+30)*(1+$H$7)</f>
        <v>85.97</v>
      </c>
      <c r="T54" s="113">
        <f>($H$5+$H$6+IF(OR($B$10,$C$10),25)+IF(OR($B$13,$C$13),25)+32)*(1+$H$7)</f>
        <v>87.97</v>
      </c>
      <c r="U54" s="114">
        <f>($H$5+$H$6+IF(OR($B$10,$C$10),25)+IF(OR($B$13,$C$13),25)+36)*(1+$H$7)</f>
        <v>91.97</v>
      </c>
      <c r="V54" s="5"/>
    </row>
    <row r="55" hidden="1" outlineLevel="1">
      <c r="A55" s="108" t="s">
        <v>216</v>
      </c>
      <c r="B55" s="112">
        <f>($I$5+$I$6+IF(OR($B$10,$C$10),25))*(1+$I$7)</f>
        <v>58.49</v>
      </c>
      <c r="C55" s="113">
        <f>($I$5+$I$6+IF(OR($B$10,$C$10),25)+2)*(1+$I$7)</f>
        <v>60.49</v>
      </c>
      <c r="D55" s="113">
        <f>($I$5+$I$6+IF(OR($B$10,$C$10),25)+4)*(1+$I$7)</f>
        <v>62.49</v>
      </c>
      <c r="E55" s="113">
        <f>($I$5+$I$6+IF(OR($B$10,$C$10),25)+8)*(1+$I$7)</f>
        <v>66.49</v>
      </c>
      <c r="F55" s="113">
        <f>($I$5+$I$6+IF(OR($B$10,$C$10),25)+8.75)*(1+$I$7)</f>
        <v>67.24</v>
      </c>
      <c r="G55" s="113">
        <f>($I$5+$I$6+IF(OR($B$10,$C$10),25)+IF(OR($B$13,$C$13),25)+10.5)*(1+$I$7)</f>
        <v>68.99</v>
      </c>
      <c r="H55" s="113">
        <f>($I$5+$I$6+IF(OR($B$10,$C$10),25)+10.75)*(1+$I$7)</f>
        <v>69.24</v>
      </c>
      <c r="I55" s="113">
        <f>($I$5+$I$6+IF(OR($B$10,$C$10),25)+IF(OR($B$13,$C$13),25)+12.5)*(1+$I$7)</f>
        <v>70.99</v>
      </c>
      <c r="J55" s="113">
        <f>($I$5+$I$6+IF(OR($B$10,$C$10),25)+12.75)*(1+$I$7)</f>
        <v>71.24</v>
      </c>
      <c r="K55" s="113">
        <f>($I$5+$I$6+IF(OR($B$10,$C$10),25)+IF(OR($B$13,$C$13),25)+14.5)*(1+$I$7)</f>
        <v>72.99</v>
      </c>
      <c r="L55" s="113">
        <f>($I$5+$I$6+IF(OR($B$10,$C$10),25)+16.75)*(1+$I$7)</f>
        <v>75.24</v>
      </c>
      <c r="M55" s="113">
        <f>($I$5+$I$6+IF(OR($B$10,$C$10),25)+IF(OR($B$13,$C$13),25)+18.5)*(1+$I$7)</f>
        <v>76.99</v>
      </c>
      <c r="N55" s="113">
        <f>($I$5+$I$6+IF(OR($B$10,$C$10),25)+IF(OR($B$13,$C$13),25)+19.25)*(1+$I$7)</f>
        <v>77.74</v>
      </c>
      <c r="O55" s="113">
        <f>($I$5+$I$6+IF(OR($B$10,$C$10),25)+IF(OR($B$13,$C$13),25)+21.25)*(1+$I$7)</f>
        <v>79.74</v>
      </c>
      <c r="P55" s="113">
        <f>($I$5+$I$6+IF(OR($B$10,$C$10),25)+IF(OR($B$13,$C$13),25)+23.25)*(1+$I$7)</f>
        <v>81.74</v>
      </c>
      <c r="Q55" s="113">
        <f>($I$5+$I$6+IF(OR($B$10,$C$10),25)+IF(OR($B$13,$C$13),25)+27.25)*(1+$I$7)</f>
        <v>85.74</v>
      </c>
      <c r="R55" s="113">
        <f>($I$5+$I$6+IF(OR($B$10,$C$10),25)+IF(OR($B$13,$C$13),25)+28)*(1+$I$7)</f>
        <v>86.49</v>
      </c>
      <c r="S55" s="113">
        <f>($I$5+$I$6+IF(OR($B$10,$C$10),25)+IF(OR($B$13,$C$13),25)+30)*(1+$I$7)</f>
        <v>88.49</v>
      </c>
      <c r="T55" s="113">
        <f>($I$5+$I$6+IF(OR($B$10,$C$10),25)+IF(OR($B$13,$C$13),25)+32)*(1+$I$7)</f>
        <v>90.49</v>
      </c>
      <c r="U55" s="114">
        <f>($I$5+$I$6+IF(OR($B$10,$C$10),25)+IF(OR($B$13,$C$13),25)+36)*(1+$I$7)</f>
        <v>94.49</v>
      </c>
      <c r="V55" s="5"/>
    </row>
    <row r="56" hidden="1" outlineLevel="1">
      <c r="A56" s="108" t="s">
        <v>217</v>
      </c>
      <c r="B56" s="112">
        <f>($J$5+$J$6+IF(OR($B$10,$C$10),25))*(1+$J$7)</f>
        <v>61.27</v>
      </c>
      <c r="C56" s="113">
        <f>($J$5+$J$6+IF(OR($B$10,$C$10),25)+2)*(1+$J$7)</f>
        <v>63.27</v>
      </c>
      <c r="D56" s="113">
        <f>($J$5+$J$6+IF(OR($B$10,$C$10),25)+4)*(1+$J$7)</f>
        <v>65.27</v>
      </c>
      <c r="E56" s="113">
        <f>($J$5+$J$6+IF(OR($B$10,$C$10),25)+8)*(1+$J$7)</f>
        <v>69.27</v>
      </c>
      <c r="F56" s="113">
        <f>($J$5+$J$6+IF(OR($B$10,$C$10),25)+8.75)*(1+$J$7)</f>
        <v>70.02</v>
      </c>
      <c r="G56" s="113">
        <f>($J$5+$J$6+IF(OR($B$10,$C$10),25)+IF(OR($B$13,$C$13),25)+10.5)*(1+$J$7)</f>
        <v>71.77</v>
      </c>
      <c r="H56" s="113">
        <f>($J$5+$J$6+IF(OR($B$10,$C$10),25)+10.75)*(1+$J$7)</f>
        <v>72.02</v>
      </c>
      <c r="I56" s="113">
        <f>($J$5+$J$6+IF(OR($B$10,$C$10),25)+IF(OR($B$13,$C$13),25)+12.5)*(1+$J$7)</f>
        <v>73.77</v>
      </c>
      <c r="J56" s="113">
        <f>($J$5+$J$6+IF(OR($B$10,$C$10),25)+12.75)*(1+$J$7)</f>
        <v>74.02</v>
      </c>
      <c r="K56" s="113">
        <f>($J$5+$J$6+IF(OR($B$10,$C$10),25)+IF(OR($B$13,$C$13),25)+14.5)*(1+$J$7)</f>
        <v>75.77</v>
      </c>
      <c r="L56" s="113">
        <f>($J$5+$J$6+IF(OR($B$10,$C$10),25)+16.75)*(1+$J$7)</f>
        <v>78.02</v>
      </c>
      <c r="M56" s="113">
        <f>($J$5+$J$6+IF(OR($B$10,$C$10),25)+IF(OR($B$13,$C$13),25)+18.5)*(1+$J$7)</f>
        <v>79.77</v>
      </c>
      <c r="N56" s="113">
        <f>($J$5+$J$6+IF(OR($B$10,$C$10),25)+IF(OR($B$13,$C$13),25)+19.25)*(1+$J$7)</f>
        <v>80.52</v>
      </c>
      <c r="O56" s="113">
        <f>($J$5+$J$6+IF(OR($B$10,$C$10),25)+IF(OR($B$13,$C$13),25)+21.25)*(1+$J$7)</f>
        <v>82.52</v>
      </c>
      <c r="P56" s="113">
        <f>($J$5+$J$6+IF(OR($B$10,$C$10),25)+IF(OR($B$13,$C$13),25)+23.25)*(1+$J$7)</f>
        <v>84.52</v>
      </c>
      <c r="Q56" s="113">
        <f>($J$5+$J$6+IF(OR($B$10,$C$10),25)+IF(OR($B$13,$C$13),25)+27.25)*(1+$J$7)</f>
        <v>88.52</v>
      </c>
      <c r="R56" s="113">
        <f>($J$5+$J$6+IF(OR($B$10,$C$10),25)+IF(OR($B$13,$C$13),25)+28)*(1+$J$7)</f>
        <v>89.27</v>
      </c>
      <c r="S56" s="113">
        <f>($J$5+$J$6+IF(OR($B$10,$C$10),25)+IF(OR($B$13,$C$13),25)+30)*(1+$J$7)</f>
        <v>91.27</v>
      </c>
      <c r="T56" s="113">
        <f>($J$5+$J$6+IF(OR($B$10,$C$10),25)+IF(OR($B$13,$C$13),25)+32)*(1+$J$7)</f>
        <v>93.27</v>
      </c>
      <c r="U56" s="114">
        <f>($J$5+$J$6+IF(OR($B$10,$C$10),25)+IF(OR($B$13,$C$13),25)+36)*(1+$J$7)</f>
        <v>97.27</v>
      </c>
      <c r="V56" s="5"/>
    </row>
    <row r="57" hidden="1" outlineLevel="1">
      <c r="A57" s="108" t="s">
        <v>218</v>
      </c>
      <c r="B57" s="112">
        <f>($K$5+$K$6+IF(OR($B$10,$C$10),25))*(1+$K$7)</f>
        <v>64.34</v>
      </c>
      <c r="C57" s="113">
        <f>($K$5+$K$6+IF(OR($B$10,$C$10),25)+2)*(1+$K$7)</f>
        <v>66.34</v>
      </c>
      <c r="D57" s="113">
        <f>($K$5+$K$6+IF(OR($B$10,$C$10),25)+4)*(1+$K$7)</f>
        <v>68.34</v>
      </c>
      <c r="E57" s="113">
        <f>($K$5+$K$6+IF(OR($B$10,$C$10),25)+8)*(1+$K$7)</f>
        <v>72.34</v>
      </c>
      <c r="F57" s="113">
        <f>($K$5+$K$6+IF(OR($B$10,$C$10),25)+8.75)*(1+$K$7)</f>
        <v>73.09</v>
      </c>
      <c r="G57" s="113">
        <f>($K$5+$K$6+IF(OR($B$10,$C$10),25)+IF(OR($B$13,$C$13),25)+10.5)*(1+$K$7)</f>
        <v>74.84</v>
      </c>
      <c r="H57" s="113">
        <f>($K$5+$K$6+IF(OR($B$10,$C$10),25)+10.75)*(1+$K$7)</f>
        <v>75.09</v>
      </c>
      <c r="I57" s="113">
        <f>($K$5+$K$6+IF(OR($B$10,$C$10),25)+IF(OR($B$13,$C$13),25)+12.5)*(1+$K$7)</f>
        <v>76.84</v>
      </c>
      <c r="J57" s="113">
        <f>($K$5+$K$6+IF(OR($B$10,$C$10),25)+12.75)*(1+$K$7)</f>
        <v>77.09</v>
      </c>
      <c r="K57" s="113">
        <f>($K$5+$K$6+IF(OR($B$10,$C$10),25)+IF(OR($B$13,$C$13),25)+14.5)*(1+$K$7)</f>
        <v>78.84</v>
      </c>
      <c r="L57" s="113">
        <f>($K$5+$K$6+IF(OR($B$10,$C$10),25)+16.75)*(1+$K$7)</f>
        <v>81.09</v>
      </c>
      <c r="M57" s="113">
        <f>($K$5+$K$6+IF(OR($B$10,$C$10),25)+IF(OR($B$13,$C$13),25)+18.5)*(1+$K$7)</f>
        <v>82.84</v>
      </c>
      <c r="N57" s="113">
        <f>($K$5+$K$6+IF(OR($B$10,$C$10),25)+IF(OR($B$13,$C$13),25)+19.25)*(1+$K$7)</f>
        <v>83.59</v>
      </c>
      <c r="O57" s="113">
        <f>($K$5+$K$6+IF(OR($B$10,$C$10),25)+IF(OR($B$13,$C$13),25)+21.25)*(1+$K$7)</f>
        <v>85.59</v>
      </c>
      <c r="P57" s="113">
        <f>($K$5+$K$6+IF(OR($B$10,$C$10),25)+IF(OR($B$13,$C$13),25)+23.25)*(1+$K$7)</f>
        <v>87.59</v>
      </c>
      <c r="Q57" s="113">
        <f>($K$5+$K$6+IF(OR($B$10,$C$10),25)+IF(OR($B$13,$C$13),25)+27.25)*(1+$K$7)</f>
        <v>91.59</v>
      </c>
      <c r="R57" s="113">
        <f>($K$5+$K$6+IF(OR($B$10,$C$10),25)+IF(OR($B$13,$C$13),25)+28)*(1+$K$7)</f>
        <v>92.34</v>
      </c>
      <c r="S57" s="113">
        <f>($K$5+$K$6+IF(OR($B$10,$C$10),25)+IF(OR($B$13,$C$13),25)+30)*(1+$K$7)</f>
        <v>94.34</v>
      </c>
      <c r="T57" s="113">
        <f>($K$5+$K$6+IF(OR($B$10,$C$10),25)+IF(OR($B$13,$C$13),25)+32)*(1+$K$7)</f>
        <v>96.34</v>
      </c>
      <c r="U57" s="114">
        <f>($K$5+$K$6+IF(OR($B$10,$C$10),25)+IF(OR($B$13,$C$13),25)+36)*(1+$K$7)</f>
        <v>100.34</v>
      </c>
      <c r="V57" s="5"/>
    </row>
    <row r="58" hidden="1" outlineLevel="1">
      <c r="A58" s="108" t="s">
        <v>219</v>
      </c>
      <c r="B58" s="112">
        <f>($L$5+$L$6+IF(OR($B$10,$C$10),25))*(1+$L$7)</f>
        <v>67.72</v>
      </c>
      <c r="C58" s="113">
        <f>($L$5+$L$6+IF(OR($B$10,$C$10),25)+2)*(1+$L$7)</f>
        <v>69.72</v>
      </c>
      <c r="D58" s="113">
        <f>($L$5+$L$6+IF(OR($B$10,$C$10),25)+4)*(1+$L$7)</f>
        <v>71.72</v>
      </c>
      <c r="E58" s="113">
        <f>($L$5+$L$6+IF(OR($B$10,$C$10),25)+8)*(1+$L$7)</f>
        <v>75.72</v>
      </c>
      <c r="F58" s="113">
        <f>($L$5+$L$6+IF(OR($B$10,$C$10),25)+8.75)*(1+$L$7)</f>
        <v>76.47</v>
      </c>
      <c r="G58" s="113">
        <f>($L$5+$L$6+IF(OR($B$10,$C$10),25)+IF(OR($B$13,$C$13),25)+10.5)*(1+$L$7)</f>
        <v>78.22</v>
      </c>
      <c r="H58" s="113">
        <f>($L$5+$L$6+IF(OR($B$10,$C$10),25)+10.75)*(1+$L$7)</f>
        <v>78.47</v>
      </c>
      <c r="I58" s="113">
        <f>($L$5+$L$6+IF(OR($B$10,$C$10),25)+IF(OR($B$13,$C$13),25)+12.5)*(1+$L$7)</f>
        <v>80.22</v>
      </c>
      <c r="J58" s="113">
        <f>($L$5+$L$6+IF(OR($B$10,$C$10),25)+12.75)*(1+$L$7)</f>
        <v>80.47</v>
      </c>
      <c r="K58" s="113">
        <f>($L$5+$L$6+IF(OR($B$10,$C$10),25)+IF(OR($B$13,$C$13),25)+14.5)*(1+$L$7)</f>
        <v>82.22</v>
      </c>
      <c r="L58" s="113">
        <f>($L$5+$L$6+IF(OR($B$10,$C$10),25)+16.75)*(1+$L$7)</f>
        <v>84.47</v>
      </c>
      <c r="M58" s="113">
        <f>($L$5+$L$6+IF(OR($B$10,$C$10),25)+IF(OR($B$13,$C$13),25)+18.5)*(1+$L$7)</f>
        <v>86.22</v>
      </c>
      <c r="N58" s="113">
        <f>($L$5+$L$6+IF(OR($B$10,$C$10),25)+IF(OR($B$13,$C$13),25)+19.25)*(1+$L$7)</f>
        <v>86.97</v>
      </c>
      <c r="O58" s="113">
        <f>($L$5+$L$6+IF(OR($B$10,$C$10),25)+IF(OR($B$13,$C$13),25)+21.25)*(1+$L$7)</f>
        <v>88.97</v>
      </c>
      <c r="P58" s="113">
        <f>($L$5+$L$6+IF(OR($B$10,$C$10),25)+IF(OR($B$13,$C$13),25)+23.25)*(1+$L$7)</f>
        <v>90.97</v>
      </c>
      <c r="Q58" s="113">
        <f>($L$5+$L$6+IF(OR($B$10,$C$10),25)+IF(OR($B$13,$C$13),25)+27.25)*(1+$L$7)</f>
        <v>94.97</v>
      </c>
      <c r="R58" s="113">
        <f>($L$5+$L$6+IF(OR($B$10,$C$10),25)+IF(OR($B$13,$C$13),25)+28)*(1+$L$7)</f>
        <v>95.72</v>
      </c>
      <c r="S58" s="113">
        <f>($L$5+$L$6+IF(OR($B$10,$C$10),25)+IF(OR($B$13,$C$13),25)+30)*(1+$L$7)</f>
        <v>97.72</v>
      </c>
      <c r="T58" s="113">
        <f>($L$5+$L$6+IF(OR($B$10,$C$10),25)+IF(OR($B$13,$C$13),25)+32)*(1+$L$7)</f>
        <v>99.72</v>
      </c>
      <c r="U58" s="114">
        <f>($L$5+$L$6+IF(OR($B$10,$C$10),25)+IF(OR($B$13,$C$13),25)+36)*(1+$L$7)</f>
        <v>103.72</v>
      </c>
      <c r="V58" s="5"/>
    </row>
    <row r="59" hidden="1" outlineLevel="1">
      <c r="A59" s="108" t="s">
        <v>220</v>
      </c>
      <c r="B59" s="112">
        <f>($M$5+$M$6+IF(OR($B$10,$C$10),25))*(1+$M$7)</f>
        <v>71.44</v>
      </c>
      <c r="C59" s="113">
        <f>($M$5+$M$6+IF(OR($B$10,$C$10),25)+2)*(1+$M$7)</f>
        <v>73.44</v>
      </c>
      <c r="D59" s="113">
        <f>($M$5+$M$6+IF(OR($B$10,$C$10),25)+4)*(1+$M$7)</f>
        <v>75.44</v>
      </c>
      <c r="E59" s="113">
        <f>($M$5+$M$6+IF(OR($B$10,$C$10),25)+8)*(1+$M$7)</f>
        <v>79.44</v>
      </c>
      <c r="F59" s="113">
        <f>($M$5+$M$6+IF(OR($B$10,$C$10),25)+8.75)*(1+$M$7)</f>
        <v>80.19</v>
      </c>
      <c r="G59" s="113">
        <f>($M$5+$M$6+IF(OR($B$10,$C$10),25)+IF(OR($B$13,$C$13),25)+10.5)*(1+$M$7)</f>
        <v>81.94</v>
      </c>
      <c r="H59" s="113">
        <f>($M$5+$M$6+IF(OR($B$10,$C$10),25)+10.75)*(1+$M$7)</f>
        <v>82.19</v>
      </c>
      <c r="I59" s="113">
        <f>($M$5+$M$6+IF(OR($B$10,$C$10),25)+IF(OR($B$13,$C$13),25)+12.5)*(1+$M$7)</f>
        <v>83.94</v>
      </c>
      <c r="J59" s="113">
        <f>($M$5+$M$6+IF(OR($B$10,$C$10),25)+12.75)*(1+$M$7)</f>
        <v>84.19</v>
      </c>
      <c r="K59" s="113">
        <f>($M$5+$M$6+IF(OR($B$10,$C$10),25)+IF(OR($B$13,$C$13),25)+14.5)*(1+$M$7)</f>
        <v>85.94</v>
      </c>
      <c r="L59" s="113">
        <f>($M$5+$M$6+IF(OR($B$10,$C$10),25)+16.75)*(1+$M$7)</f>
        <v>88.19</v>
      </c>
      <c r="M59" s="113">
        <f>($M$5+$M$6+IF(OR($B$10,$C$10),25)+IF(OR($B$13,$C$13),25)+18.5)*(1+$M$7)</f>
        <v>89.94</v>
      </c>
      <c r="N59" s="113">
        <f>($M$5+$M$6+IF(OR($B$10,$C$10),25)+IF(OR($B$13,$C$13),25)+19.25)*(1+$M$7)</f>
        <v>90.69</v>
      </c>
      <c r="O59" s="113">
        <f>($M$5+$M$6+IF(OR($B$10,$C$10),25)+IF(OR($B$13,$C$13),25)+21.25)*(1+$M$7)</f>
        <v>92.69</v>
      </c>
      <c r="P59" s="113">
        <f>($M$5+$M$6+IF(OR($B$10,$C$10),25)+IF(OR($B$13,$C$13),25)+23.25)*(1+$M$7)</f>
        <v>94.69</v>
      </c>
      <c r="Q59" s="113">
        <f>($M$5+$M$6+IF(OR($B$10,$C$10),25)+IF(OR($B$13,$C$13),25)+27.25)*(1+$M$7)</f>
        <v>98.69</v>
      </c>
      <c r="R59" s="113">
        <f>($M$5+$M$6+IF(OR($B$10,$C$10),25)+IF(OR($B$13,$C$13),25)+28)*(1+$M$7)</f>
        <v>99.44</v>
      </c>
      <c r="S59" s="113">
        <f>($M$5+$M$6+IF(OR($B$10,$C$10),25)+IF(OR($B$13,$C$13),25)+30)*(1+$M$7)</f>
        <v>101.44</v>
      </c>
      <c r="T59" s="113">
        <f>($M$5+$M$6+IF(OR($B$10,$C$10),25)+IF(OR($B$13,$C$13),25)+32)*(1+$M$7)</f>
        <v>103.44</v>
      </c>
      <c r="U59" s="114">
        <f>($M$5+$M$6+IF(OR($B$10,$C$10),25)+IF(OR($B$13,$C$13),25)+36)*(1+$M$7)</f>
        <v>107.44</v>
      </c>
      <c r="V59" s="5"/>
    </row>
    <row r="60" hidden="1" outlineLevel="1">
      <c r="A60" s="108" t="s">
        <v>221</v>
      </c>
      <c r="B60" s="112">
        <f>($N$5+$N$6+IF(OR($B$10,$C$10),25))*(1+$N$7)</f>
        <v>75.53</v>
      </c>
      <c r="C60" s="113">
        <f>($N$5+$N$6+IF(OR($B$10,$C$10),25)+2)*(1+$N$7)</f>
        <v>77.53</v>
      </c>
      <c r="D60" s="113">
        <f>($N$5+$N$6+IF(OR($B$10,$C$10),25)+4)*(1+$N$7)</f>
        <v>79.53</v>
      </c>
      <c r="E60" s="113">
        <f>($N$5+$N$6+IF(OR($B$10,$C$10),25)+8)*(1+$N$7)</f>
        <v>83.53</v>
      </c>
      <c r="F60" s="113">
        <f>($N$5+$N$6+IF(OR($B$10,$C$10),25)+8.75)*(1+$N$7)</f>
        <v>84.28</v>
      </c>
      <c r="G60" s="113">
        <f>($N$5+$N$6+IF(OR($B$10,$C$10),25)+IF(OR($B$13,$C$13),25)+10.5)*(1+$N$7)</f>
        <v>86.03</v>
      </c>
      <c r="H60" s="113">
        <f>($N$5+$N$6+IF(OR($B$10,$C$10),25)+10.75)*(1+$N$7)</f>
        <v>86.28</v>
      </c>
      <c r="I60" s="113">
        <f>($N$5+$N$6+IF(OR($B$10,$C$10),25)+IF(OR($B$13,$C$13),25)+12.5)*(1+$N$7)</f>
        <v>88.03</v>
      </c>
      <c r="J60" s="113">
        <f>($N$5+$N$6+IF(OR($B$10,$C$10),25)+12.75)*(1+$N$7)</f>
        <v>88.28</v>
      </c>
      <c r="K60" s="113">
        <f>($N$5+$N$6+IF(OR($B$10,$C$10),25)+IF(OR($B$13,$C$13),25)+14.5)*(1+$N$7)</f>
        <v>90.03</v>
      </c>
      <c r="L60" s="113">
        <f>($N$5+$N$6+IF(OR($B$10,$C$10),25)+16.75)*(1+$N$7)</f>
        <v>92.28</v>
      </c>
      <c r="M60" s="113">
        <f>($N$5+$N$6+IF(OR($B$10,$C$10),25)+IF(OR($B$13,$C$13),25)+18.5)*(1+$N$7)</f>
        <v>94.03</v>
      </c>
      <c r="N60" s="113">
        <f>($N$5+$N$6+IF(OR($B$10,$C$10),25)+IF(OR($B$13,$C$13),25)+19.25)*(1+$N$7)</f>
        <v>94.78</v>
      </c>
      <c r="O60" s="113">
        <f>($N$5+$N$6+IF(OR($B$10,$C$10),25)+IF(OR($B$13,$C$13),25)+21.25)*(1+$N$7)</f>
        <v>96.78</v>
      </c>
      <c r="P60" s="113">
        <f>($N$5+$N$6+IF(OR($B$10,$C$10),25)+IF(OR($B$13,$C$13),25)+23.25)*(1+$N$7)</f>
        <v>98.78</v>
      </c>
      <c r="Q60" s="113">
        <f>($N$5+$N$6+IF(OR($B$10,$C$10),25)+IF(OR($B$13,$C$13),25)+27.25)*(1+$N$7)</f>
        <v>102.78</v>
      </c>
      <c r="R60" s="113">
        <f>($N$5+$N$6+IF(OR($B$10,$C$10),25)+IF(OR($B$13,$C$13),25)+28)*(1+$N$7)</f>
        <v>103.53</v>
      </c>
      <c r="S60" s="113">
        <f>($N$5+$N$6+IF(OR($B$10,$C$10),25)+IF(OR($B$13,$C$13),25)+30)*(1+$N$7)</f>
        <v>105.53</v>
      </c>
      <c r="T60" s="113">
        <f>($N$5+$N$6+IF(OR($B$10,$C$10),25)+IF(OR($B$13,$C$13),25)+32)*(1+$N$7)</f>
        <v>107.53</v>
      </c>
      <c r="U60" s="114">
        <f>($N$5+$N$6+IF(OR($B$10,$C$10),25)+IF(OR($B$13,$C$13),25)+36)*(1+$N$7)</f>
        <v>111.53</v>
      </c>
      <c r="V60" s="5"/>
    </row>
    <row r="61" hidden="1" outlineLevel="1">
      <c r="A61" s="108" t="s">
        <v>222</v>
      </c>
      <c r="B61" s="112">
        <f>($O$5+$O$6+IF(OR($B$10,$C$10),25))*(1+$O$7)</f>
        <v>80.03</v>
      </c>
      <c r="C61" s="113">
        <f>($O$5+$O$6+IF(OR($B$10,$C$10),25)+2)*(1+$O$7)</f>
        <v>82.03</v>
      </c>
      <c r="D61" s="113">
        <f>($O$5+$O$6+IF(OR($B$10,$C$10),25)+4)*(1+$O$7)</f>
        <v>84.03</v>
      </c>
      <c r="E61" s="113">
        <f>($O$5+$O$6+IF(OR($B$10,$C$10),25)+8)*(1+$O$7)</f>
        <v>88.03</v>
      </c>
      <c r="F61" s="113">
        <f>($O$5+$O$6+IF(OR($B$10,$C$10),25)+8.75)*(1+$O$7)</f>
        <v>88.78</v>
      </c>
      <c r="G61" s="113">
        <f>($O$5+$O$6+IF(OR($B$10,$C$10),25)+IF(OR($B$13,$C$13),25)+10.5)*(1+$O$7)</f>
        <v>90.53</v>
      </c>
      <c r="H61" s="113">
        <f>($O$5+$O$6+IF(OR($B$10,$C$10),25)+10.75)*(1+$O$7)</f>
        <v>90.78</v>
      </c>
      <c r="I61" s="113">
        <f>($O$5+$O$6+IF(OR($B$10,$C$10),25)+IF(OR($B$13,$C$13),25)+12.5)*(1+$O$7)</f>
        <v>92.53</v>
      </c>
      <c r="J61" s="113">
        <f>($O$5+$O$6+IF(OR($B$10,$C$10),25)+12.75)*(1+$O$7)</f>
        <v>92.78</v>
      </c>
      <c r="K61" s="113">
        <f>($O$5+$O$6+IF(OR($B$10,$C$10),25)+IF(OR($B$13,$C$13),25)+14.5)*(1+$O$7)</f>
        <v>94.53</v>
      </c>
      <c r="L61" s="113">
        <f>($O$5+$O$6+IF(OR($B$10,$C$10),25)+16.75)*(1+$O$7)</f>
        <v>96.78</v>
      </c>
      <c r="M61" s="113">
        <f>($O$5+$O$6+IF(OR($B$10,$C$10),25)+IF(OR($B$13,$C$13),25)+18.5)*(1+$O$7)</f>
        <v>98.53</v>
      </c>
      <c r="N61" s="113">
        <f>($O$5+$O$6+IF(OR($B$10,$C$10),25)+IF(OR($B$13,$C$13),25)+19.25)*(1+$O$7)</f>
        <v>99.28</v>
      </c>
      <c r="O61" s="113">
        <f>($O$5+$O$6+IF(OR($B$10,$C$10),25)+IF(OR($B$13,$C$13),25)+21.25)*(1+$O$7)</f>
        <v>101.28</v>
      </c>
      <c r="P61" s="113">
        <f>($O$5+$O$6+IF(OR($B$10,$C$10),25)+IF(OR($B$13,$C$13),25)+23.25)*(1+$O$7)</f>
        <v>103.28</v>
      </c>
      <c r="Q61" s="113">
        <f>($O$5+$O$6+IF(OR($B$10,$C$10),25)+IF(OR($B$13,$C$13),25)+27.25)*(1+$O$7)</f>
        <v>107.28</v>
      </c>
      <c r="R61" s="113">
        <f>($O$5+$O$6+IF(OR($B$10,$C$10),25)+IF(OR($B$13,$C$13),25)+28)*(1+$O$7)</f>
        <v>108.03</v>
      </c>
      <c r="S61" s="113">
        <f>($O$5+$O$6+IF(OR($B$10,$C$10),25)+IF(OR($B$13,$C$13),25)+30)*(1+$O$7)</f>
        <v>110.03</v>
      </c>
      <c r="T61" s="113">
        <f>($O$5+$O$6+IF(OR($B$10,$C$10),25)+IF(OR($B$13,$C$13),25)+32)*(1+$O$7)</f>
        <v>112.03</v>
      </c>
      <c r="U61" s="114">
        <f>($O$5+$O$6+IF(OR($B$10,$C$10),25)+IF(OR($B$13,$C$13),25)+36)*(1+$O$7)</f>
        <v>116.03</v>
      </c>
      <c r="V61" s="5"/>
    </row>
    <row r="62" hidden="1" outlineLevel="1">
      <c r="A62" s="108" t="s">
        <v>223</v>
      </c>
      <c r="B62" s="115">
        <f>($P$5+$P$6+IF(OR($B$10,$C$10),25))*(1+$P$7)</f>
        <v>84.99</v>
      </c>
      <c r="C62" s="116">
        <f>($P$5+$P$6+IF(OR($B$10,$C$10),25)+2)*(1+$P$7)</f>
        <v>86.99</v>
      </c>
      <c r="D62" s="116">
        <f>($P$5+$P$6+IF(OR($B$10,$C$10),25)+4)*(1+$P$7)</f>
        <v>88.99</v>
      </c>
      <c r="E62" s="116">
        <f>($P$5+$P$6+IF(OR($B$10,$C$10),25)+8)*(1+$P$7)</f>
        <v>92.99</v>
      </c>
      <c r="F62" s="116">
        <f>($P$5+$P$6+IF(OR($B$10,$C$10),25)+8.75)*(1+$P$7)</f>
        <v>93.74</v>
      </c>
      <c r="G62" s="116">
        <f>($P$5+$P$6+IF(OR($B$10,$C$10),25)+IF(OR($B$13,$C$13),25)+10.5)*(1+$P$7)</f>
        <v>95.49</v>
      </c>
      <c r="H62" s="116">
        <f>($P$5+$P$6+IF(OR($B$10,$C$10),25)+10.75)*(1+$P$7)</f>
        <v>95.74</v>
      </c>
      <c r="I62" s="116">
        <f>($P$5+$P$6+IF(OR($B$10,$C$10),25)+IF(OR($B$13,$C$13),25)+12.5)*(1+$P$7)</f>
        <v>97.49</v>
      </c>
      <c r="J62" s="116">
        <f>($P$5+$P$6+IF(OR($B$10,$C$10),25)+12.75)*(1+$P$7)</f>
        <v>97.74</v>
      </c>
      <c r="K62" s="116">
        <f>($P$5+$P$6+IF(OR($B$10,$C$10),25)+IF(OR($B$13,$C$13),25)+14.5)*(1+$P$7)</f>
        <v>99.49</v>
      </c>
      <c r="L62" s="116">
        <f>($P$5+$P$6+IF(OR($B$10,$C$10),25)+16.75)*(1+$P$7)</f>
        <v>101.74</v>
      </c>
      <c r="M62" s="116">
        <f>($P$5+$P$6+IF(OR($B$10,$C$10),25)+IF(OR($B$13,$C$13),25)+18.5)*(1+$P$7)</f>
        <v>103.49</v>
      </c>
      <c r="N62" s="116">
        <f>($P$5+$P$6+IF(OR($B$10,$C$10),25)+IF(OR($B$13,$C$13),25)+19.25)*(1+$P$7)</f>
        <v>104.24</v>
      </c>
      <c r="O62" s="116">
        <f>($P$5+$P$6+IF(OR($B$10,$C$10),25)+IF(OR($B$13,$C$13),25)+21.25)*(1+$P$7)</f>
        <v>106.24</v>
      </c>
      <c r="P62" s="116">
        <f>($P$5+$P$6+IF(OR($B$10,$C$10),25)+IF(OR($B$13,$C$13),25)+23.25)*(1+$P$7)</f>
        <v>108.24</v>
      </c>
      <c r="Q62" s="116">
        <f>($P$5+$P$6+IF(OR($B$10,$C$10),25)+IF(OR($B$13,$C$13),25)+27.25)*(1+$P$7)</f>
        <v>112.24</v>
      </c>
      <c r="R62" s="116">
        <f>($P$5+$P$6+IF(OR($B$10,$C$10),25)+IF(OR($B$13,$C$13),25)+28)*(1+$P$7)</f>
        <v>112.99</v>
      </c>
      <c r="S62" s="116">
        <f>($P$5+$P$6+IF(OR($B$10,$C$10),25)+IF(OR($B$13,$C$13),25)+30)*(1+$P$7)</f>
        <v>114.99</v>
      </c>
      <c r="T62" s="116">
        <f>($P$5+$P$6+IF(OR($B$10,$C$10),25)+IF(OR($B$13,$C$13),25)+32)*(1+$P$7)</f>
        <v>116.99</v>
      </c>
      <c r="U62" s="117">
        <f>($P$5+$P$6+IF(OR($B$10,$C$10),25)+IF(OR($B$13,$C$13),25)+36)*(1+$P$7)</f>
        <v>120.99</v>
      </c>
      <c r="V62" s="5"/>
    </row>
    <row r="63" hidden="1" outlineLevel="1">
      <c r="A63" s="118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5"/>
      <c r="R63" s="119"/>
      <c r="S63" s="5"/>
      <c r="T63" s="5"/>
      <c r="U63" s="5"/>
      <c r="V63" s="5"/>
    </row>
  </sheetData>
  <mergeCells count="21">
    <mergeCell ref="I9:J9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A28:U28"/>
    <mergeCell ref="A46:U46"/>
    <mergeCell ref="A1:P2"/>
    <mergeCell ref="R5:T7"/>
    <mergeCell ref="D9:D15"/>
    <mergeCell ref="E9:F9"/>
    <mergeCell ref="H9:H15"/>
    <mergeCell ref="N9:P15"/>
    <mergeCell ref="E10:F10"/>
  </mergeCells>
  <conditionalFormatting sqref="B23:P25">
    <cfRule type="colorScale" priority="1">
      <colorScale>
        <cfvo type="formula" val="20"/>
        <cfvo type="formula" val="48"/>
        <cfvo type="formula" val="56"/>
        <color rgb="FF34A853"/>
        <color rgb="FFFBBC04"/>
        <color rgb="FFEA4335"/>
      </colorScale>
    </cfRule>
  </conditionalFormatting>
  <conditionalFormatting sqref="B26:P26">
    <cfRule type="containsText" dxfId="0" priority="2" operator="containsText" text="No Benefit">
      <formula>NOT(ISERROR(SEARCH(("No Benefit"),(B26))))</formula>
    </cfRule>
  </conditionalFormatting>
  <conditionalFormatting sqref="B26:P26">
    <cfRule type="containsText" dxfId="1" priority="3" operator="containsText" text="Faster">
      <formula>NOT(ISERROR(SEARCH(("Faster"),(B26))))</formula>
    </cfRule>
  </conditionalFormatting>
  <conditionalFormatting sqref="B30:U44">
    <cfRule type="colorScale" priority="4">
      <colorScale>
        <cfvo type="formula" val="20"/>
        <cfvo type="formula" val="48"/>
        <cfvo type="formula" val="56"/>
        <color rgb="FF34A853"/>
        <color rgb="FFFBBC04"/>
        <color rgb="FFEA4335"/>
      </colorScale>
    </cfRule>
  </conditionalFormatting>
  <dataValidations>
    <dataValidation type="list" allowBlank="1" showErrorMessage="1" sqref="A4">
      <formula1>'Base Atk Speed'!$A:$A</formula1>
    </dataValidation>
    <dataValidation type="list" allowBlank="1" showErrorMessage="1" sqref="L9">
      <formula1>Dropdowns!$C$2:$C63</formula1>
    </dataValidation>
    <dataValidation type="list" allowBlank="1" showErrorMessage="1" sqref="L10">
      <formula1>Dropdowns!$D$2:$D63</formula1>
    </dataValidation>
    <dataValidation type="list" allowBlank="1" showErrorMessage="1" sqref="L11">
      <formula1>Dropdowns!$E$2:$E63</formula1>
    </dataValidation>
    <dataValidation type="list" allowBlank="1" showErrorMessage="1" sqref="L12">
      <formula1>Dropdowns!$F$2:$F63</formula1>
    </dataValidation>
    <dataValidation type="list" allowBlank="1" showErrorMessage="1" sqref="L13">
      <formula1>Dropdowns!$G$2:$G63</formula1>
    </dataValidation>
    <dataValidation type="list" allowBlank="1" showErrorMessage="1" sqref="L14">
      <formula1>Dropdowns!$H$2:$H63</formula1>
    </dataValidation>
    <dataValidation type="list" allowBlank="1" showErrorMessage="1" sqref="B15:C15">
      <formula1>"-,Red 3,Red 5,Red 7"</formula1>
    </dataValidation>
    <dataValidation type="list" allowBlank="1" showErrorMessage="1" sqref="L15">
      <formula1>Dropdowns!$I$2:$I63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6.75"/>
    <col customWidth="1" min="2" max="16" width="7.63"/>
  </cols>
  <sheetData>
    <row r="1">
      <c r="A1" s="1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  <c r="N1" s="3">
        <v>13.0</v>
      </c>
      <c r="O1" s="3">
        <v>14.0</v>
      </c>
      <c r="P1" s="3">
        <v>15.0</v>
      </c>
    </row>
    <row r="2">
      <c r="A2" s="7" t="s">
        <v>4</v>
      </c>
      <c r="B2" s="8">
        <v>10.0</v>
      </c>
      <c r="C2" s="8">
        <v>10.71</v>
      </c>
      <c r="D2" s="8">
        <v>11.49</v>
      </c>
      <c r="E2" s="8">
        <v>12.35</v>
      </c>
      <c r="F2" s="8">
        <v>13.29</v>
      </c>
      <c r="G2" s="8">
        <v>14.33</v>
      </c>
      <c r="H2" s="8">
        <v>15.48</v>
      </c>
      <c r="I2" s="8">
        <v>16.74</v>
      </c>
      <c r="J2" s="8">
        <v>18.13</v>
      </c>
      <c r="K2" s="8">
        <v>19.66</v>
      </c>
      <c r="L2" s="8">
        <v>21.35</v>
      </c>
      <c r="M2" s="8">
        <v>23.21</v>
      </c>
      <c r="N2" s="8">
        <v>25.26</v>
      </c>
      <c r="O2" s="8">
        <v>27.51</v>
      </c>
      <c r="P2" s="8">
        <v>29.99</v>
      </c>
    </row>
    <row r="3">
      <c r="A3" s="7" t="s">
        <v>14</v>
      </c>
      <c r="B3" s="8">
        <v>15.0</v>
      </c>
      <c r="C3" s="8">
        <v>15.98</v>
      </c>
      <c r="D3" s="8">
        <v>17.16</v>
      </c>
      <c r="E3" s="8">
        <v>18.57</v>
      </c>
      <c r="F3" s="8">
        <v>21.77</v>
      </c>
      <c r="G3" s="8">
        <v>23.81</v>
      </c>
      <c r="H3" s="8">
        <v>29.25</v>
      </c>
      <c r="I3" s="8">
        <v>35.18</v>
      </c>
      <c r="J3" s="8">
        <v>35.7</v>
      </c>
      <c r="K3" s="8">
        <v>39.92</v>
      </c>
      <c r="L3" s="8">
        <v>44.99</v>
      </c>
      <c r="M3" s="8">
        <v>44.99</v>
      </c>
      <c r="N3" s="8">
        <v>44.99</v>
      </c>
      <c r="O3" s="8">
        <v>44.99</v>
      </c>
      <c r="P3" s="8">
        <v>44.99</v>
      </c>
    </row>
    <row r="4">
      <c r="A4" s="7" t="s">
        <v>17</v>
      </c>
      <c r="B4" s="8">
        <v>10.0</v>
      </c>
      <c r="C4" s="8">
        <v>10.22</v>
      </c>
      <c r="D4" s="8">
        <v>10.47</v>
      </c>
      <c r="E4" s="8">
        <v>11.76</v>
      </c>
      <c r="F4" s="8">
        <v>12.1</v>
      </c>
      <c r="G4" s="8">
        <v>12.49</v>
      </c>
      <c r="H4" s="8">
        <v>12.94</v>
      </c>
      <c r="I4" s="8">
        <v>13.45</v>
      </c>
      <c r="J4" s="8">
        <v>14.04</v>
      </c>
      <c r="K4" s="8">
        <v>14.72</v>
      </c>
      <c r="L4" s="8">
        <v>15.5</v>
      </c>
      <c r="M4" s="8">
        <v>16.4</v>
      </c>
      <c r="N4" s="8">
        <v>17.43</v>
      </c>
      <c r="O4" s="8">
        <v>18.62</v>
      </c>
      <c r="P4" s="8">
        <v>19.99</v>
      </c>
    </row>
    <row r="5">
      <c r="A5" s="7" t="s">
        <v>20</v>
      </c>
      <c r="B5" s="8">
        <v>10.0</v>
      </c>
      <c r="C5" s="8">
        <v>10.89</v>
      </c>
      <c r="D5" s="8">
        <v>11.91</v>
      </c>
      <c r="E5" s="8">
        <v>13.08</v>
      </c>
      <c r="F5" s="8">
        <v>18.43</v>
      </c>
      <c r="G5" s="8">
        <v>19.98</v>
      </c>
      <c r="H5" s="8">
        <v>21.76</v>
      </c>
      <c r="I5" s="8">
        <v>23.82</v>
      </c>
      <c r="J5" s="8">
        <v>26.18</v>
      </c>
      <c r="K5" s="8">
        <v>28.9</v>
      </c>
      <c r="L5" s="8">
        <v>32.03</v>
      </c>
      <c r="M5" s="8">
        <v>35.63</v>
      </c>
      <c r="N5" s="8">
        <v>39.77</v>
      </c>
      <c r="O5" s="8">
        <v>44.53</v>
      </c>
      <c r="P5" s="8">
        <v>50.0</v>
      </c>
    </row>
    <row r="6">
      <c r="A6" s="7" t="s">
        <v>22</v>
      </c>
      <c r="B6" s="8">
        <v>10.0</v>
      </c>
      <c r="C6" s="8">
        <v>10.72</v>
      </c>
      <c r="D6" s="8">
        <v>11.5</v>
      </c>
      <c r="E6" s="8">
        <v>12.37</v>
      </c>
      <c r="F6" s="8">
        <v>13.32</v>
      </c>
      <c r="G6" s="8">
        <v>14.36</v>
      </c>
      <c r="H6" s="8">
        <v>15.51</v>
      </c>
      <c r="I6" s="8">
        <v>16.78</v>
      </c>
      <c r="J6" s="8">
        <v>18.17</v>
      </c>
      <c r="K6" s="8">
        <v>19.71</v>
      </c>
      <c r="L6" s="8">
        <v>21.39</v>
      </c>
      <c r="M6" s="8">
        <v>23.24</v>
      </c>
      <c r="N6" s="8">
        <v>25.29</v>
      </c>
      <c r="O6" s="8">
        <v>27.53</v>
      </c>
      <c r="P6" s="8">
        <v>30.0</v>
      </c>
    </row>
    <row r="7">
      <c r="A7" s="7" t="s">
        <v>24</v>
      </c>
      <c r="B7" s="8">
        <v>10.0</v>
      </c>
      <c r="C7" s="8">
        <v>10.67</v>
      </c>
      <c r="D7" s="8">
        <v>11.43</v>
      </c>
      <c r="E7" s="8">
        <v>15.31</v>
      </c>
      <c r="F7" s="8">
        <v>16.32</v>
      </c>
      <c r="G7" s="8">
        <v>17.48</v>
      </c>
      <c r="H7" s="8">
        <v>18.82</v>
      </c>
      <c r="I7" s="8">
        <v>20.36</v>
      </c>
      <c r="J7" s="8">
        <v>22.13</v>
      </c>
      <c r="K7" s="8">
        <v>24.17</v>
      </c>
      <c r="L7" s="8">
        <v>26.52</v>
      </c>
      <c r="M7" s="8">
        <v>29.22</v>
      </c>
      <c r="N7" s="8">
        <v>32.33</v>
      </c>
      <c r="O7" s="8">
        <v>35.9</v>
      </c>
      <c r="P7" s="8">
        <v>40.0</v>
      </c>
    </row>
    <row r="8">
      <c r="A8" s="7" t="s">
        <v>27</v>
      </c>
      <c r="B8" s="8">
        <v>10.0</v>
      </c>
      <c r="C8" s="8">
        <v>10.29</v>
      </c>
      <c r="D8" s="8">
        <v>10.63</v>
      </c>
      <c r="E8" s="8">
        <v>11.04</v>
      </c>
      <c r="F8" s="8">
        <v>12.54</v>
      </c>
      <c r="G8" s="8">
        <v>13.14</v>
      </c>
      <c r="H8" s="8">
        <v>15.86</v>
      </c>
      <c r="I8" s="8">
        <v>16.72</v>
      </c>
      <c r="J8" s="8">
        <v>17.75</v>
      </c>
      <c r="K8" s="8">
        <v>18.98</v>
      </c>
      <c r="L8" s="8">
        <v>20.46</v>
      </c>
      <c r="M8" s="8">
        <v>22.24</v>
      </c>
      <c r="N8" s="8">
        <v>24.37</v>
      </c>
      <c r="O8" s="8">
        <v>26.93</v>
      </c>
      <c r="P8" s="8">
        <v>30.0</v>
      </c>
    </row>
    <row r="9">
      <c r="A9" s="7" t="s">
        <v>29</v>
      </c>
      <c r="B9" s="8">
        <v>10.0</v>
      </c>
      <c r="C9" s="8">
        <v>10.29</v>
      </c>
      <c r="D9" s="8">
        <v>10.63</v>
      </c>
      <c r="E9" s="8">
        <v>11.04</v>
      </c>
      <c r="F9" s="8">
        <v>12.54</v>
      </c>
      <c r="G9" s="8">
        <v>13.14</v>
      </c>
      <c r="H9" s="8">
        <v>15.86</v>
      </c>
      <c r="I9" s="8">
        <v>16.72</v>
      </c>
      <c r="J9" s="8">
        <v>17.75</v>
      </c>
      <c r="K9" s="8">
        <v>18.98</v>
      </c>
      <c r="L9" s="8">
        <v>20.46</v>
      </c>
      <c r="M9" s="8">
        <v>22.24</v>
      </c>
      <c r="N9" s="8">
        <v>24.37</v>
      </c>
      <c r="O9" s="8">
        <v>26.93</v>
      </c>
      <c r="P9" s="8">
        <v>30.0</v>
      </c>
    </row>
    <row r="10">
      <c r="A10" s="7" t="s">
        <v>32</v>
      </c>
      <c r="B10" s="8">
        <v>10.0</v>
      </c>
      <c r="C10" s="8">
        <v>10.22</v>
      </c>
      <c r="D10" s="8">
        <v>10.47</v>
      </c>
      <c r="E10" s="8">
        <v>11.76</v>
      </c>
      <c r="F10" s="8">
        <v>12.1</v>
      </c>
      <c r="G10" s="8">
        <v>12.49</v>
      </c>
      <c r="H10" s="8">
        <v>12.94</v>
      </c>
      <c r="I10" s="8">
        <v>13.45</v>
      </c>
      <c r="J10" s="8">
        <v>14.04</v>
      </c>
      <c r="K10" s="8">
        <v>14.72</v>
      </c>
      <c r="L10" s="8">
        <v>15.5</v>
      </c>
      <c r="M10" s="8">
        <v>16.4</v>
      </c>
      <c r="N10" s="8">
        <v>17.43</v>
      </c>
      <c r="O10" s="8">
        <v>18.62</v>
      </c>
      <c r="P10" s="8">
        <v>19.99</v>
      </c>
    </row>
    <row r="11">
      <c r="A11" s="7" t="s">
        <v>34</v>
      </c>
      <c r="B11" s="8">
        <v>10.0</v>
      </c>
      <c r="C11" s="8">
        <v>10.71</v>
      </c>
      <c r="D11" s="8">
        <v>11.49</v>
      </c>
      <c r="E11" s="8">
        <v>12.35</v>
      </c>
      <c r="F11" s="8">
        <v>13.29</v>
      </c>
      <c r="G11" s="8">
        <v>14.33</v>
      </c>
      <c r="H11" s="8">
        <v>15.48</v>
      </c>
      <c r="I11" s="8">
        <v>16.74</v>
      </c>
      <c r="J11" s="8">
        <v>18.13</v>
      </c>
      <c r="K11" s="8">
        <v>19.66</v>
      </c>
      <c r="L11" s="8">
        <v>21.35</v>
      </c>
      <c r="M11" s="8">
        <v>23.21</v>
      </c>
      <c r="N11" s="8">
        <v>25.26</v>
      </c>
      <c r="O11" s="8">
        <v>27.51</v>
      </c>
      <c r="P11" s="8">
        <v>29.99</v>
      </c>
    </row>
    <row r="12">
      <c r="A12" s="7" t="s">
        <v>36</v>
      </c>
      <c r="B12" s="8">
        <v>10.0</v>
      </c>
      <c r="C12" s="8">
        <v>10.89</v>
      </c>
      <c r="D12" s="8">
        <v>11.91</v>
      </c>
      <c r="E12" s="8">
        <v>13.08</v>
      </c>
      <c r="F12" s="8">
        <v>18.43</v>
      </c>
      <c r="G12" s="8">
        <v>19.98</v>
      </c>
      <c r="H12" s="8">
        <v>21.76</v>
      </c>
      <c r="I12" s="8">
        <v>23.82</v>
      </c>
      <c r="J12" s="8">
        <v>26.18</v>
      </c>
      <c r="K12" s="8">
        <v>28.9</v>
      </c>
      <c r="L12" s="8">
        <v>32.03</v>
      </c>
      <c r="M12" s="8">
        <v>35.63</v>
      </c>
      <c r="N12" s="8">
        <v>39.77</v>
      </c>
      <c r="O12" s="8">
        <v>44.53</v>
      </c>
      <c r="P12" s="8">
        <v>50.0</v>
      </c>
    </row>
    <row r="13">
      <c r="A13" s="7" t="s">
        <v>38</v>
      </c>
      <c r="B13" s="8">
        <v>10.0</v>
      </c>
      <c r="C13" s="8">
        <v>10.29</v>
      </c>
      <c r="D13" s="8">
        <v>10.63</v>
      </c>
      <c r="E13" s="8">
        <v>11.04</v>
      </c>
      <c r="F13" s="8">
        <v>12.54</v>
      </c>
      <c r="G13" s="11">
        <v>0.0</v>
      </c>
      <c r="H13" s="8">
        <v>15.86</v>
      </c>
      <c r="I13" s="8">
        <v>16.72</v>
      </c>
      <c r="J13" s="8">
        <v>17.75</v>
      </c>
      <c r="K13" s="8">
        <v>18.98</v>
      </c>
      <c r="L13" s="8">
        <v>20.46</v>
      </c>
      <c r="M13" s="8">
        <v>22.24</v>
      </c>
      <c r="N13" s="8">
        <v>24.37</v>
      </c>
      <c r="O13" s="8">
        <v>26.93</v>
      </c>
      <c r="P13" s="8">
        <v>30.0</v>
      </c>
    </row>
    <row r="14">
      <c r="A14" s="7" t="s">
        <v>41</v>
      </c>
      <c r="B14" s="8">
        <v>0.0</v>
      </c>
      <c r="C14" s="8">
        <v>0.0</v>
      </c>
      <c r="D14" s="8">
        <v>0.0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>
        <v>0.0</v>
      </c>
    </row>
    <row r="15">
      <c r="A15" s="7" t="s">
        <v>43</v>
      </c>
      <c r="B15" s="8">
        <v>0.0</v>
      </c>
      <c r="C15" s="8">
        <v>0.0</v>
      </c>
      <c r="D15" s="8">
        <v>0.0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</row>
    <row r="16">
      <c r="A16" s="7" t="s">
        <v>46</v>
      </c>
      <c r="B16" s="8">
        <v>0.0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</row>
    <row r="17">
      <c r="A17" s="7" t="s">
        <v>49</v>
      </c>
      <c r="B17" s="8">
        <v>10.0</v>
      </c>
      <c r="C17" s="8">
        <v>11.87</v>
      </c>
      <c r="D17" s="8">
        <v>14.11</v>
      </c>
      <c r="E17" s="8">
        <v>16.8</v>
      </c>
      <c r="F17" s="8">
        <v>26.53</v>
      </c>
      <c r="G17" s="8">
        <v>30.4</v>
      </c>
      <c r="H17" s="8">
        <v>48.04</v>
      </c>
      <c r="I17" s="8">
        <v>53.61</v>
      </c>
      <c r="J17" s="8">
        <v>60.3</v>
      </c>
      <c r="K17" s="8">
        <v>68.33</v>
      </c>
      <c r="L17" s="8">
        <v>77.96</v>
      </c>
      <c r="M17" s="8">
        <v>89.52</v>
      </c>
      <c r="N17" s="8">
        <v>103.39</v>
      </c>
      <c r="O17" s="8">
        <v>120.03</v>
      </c>
      <c r="P17" s="8">
        <v>140.0</v>
      </c>
    </row>
    <row r="18">
      <c r="A18" s="7" t="s">
        <v>50</v>
      </c>
      <c r="B18" s="8">
        <v>10.0</v>
      </c>
      <c r="C18" s="8">
        <v>10.22</v>
      </c>
      <c r="D18" s="8">
        <v>10.47</v>
      </c>
      <c r="E18" s="8">
        <v>11.76</v>
      </c>
      <c r="F18" s="8">
        <v>12.1</v>
      </c>
      <c r="G18" s="8">
        <v>12.49</v>
      </c>
      <c r="H18" s="8">
        <v>12.94</v>
      </c>
      <c r="I18" s="8">
        <v>13.45</v>
      </c>
      <c r="J18" s="8">
        <v>14.04</v>
      </c>
      <c r="K18" s="8">
        <v>14.72</v>
      </c>
      <c r="L18" s="8">
        <v>15.5</v>
      </c>
      <c r="M18" s="8">
        <v>16.4</v>
      </c>
      <c r="N18" s="8">
        <v>17.44</v>
      </c>
      <c r="O18" s="8">
        <v>18.63</v>
      </c>
      <c r="P18" s="8">
        <v>20.0</v>
      </c>
    </row>
    <row r="19">
      <c r="A19" s="7" t="s">
        <v>51</v>
      </c>
      <c r="B19" s="8">
        <v>10.0</v>
      </c>
      <c r="C19" s="8">
        <v>10.36</v>
      </c>
      <c r="D19" s="8">
        <v>10.75</v>
      </c>
      <c r="E19" s="8">
        <v>11.18</v>
      </c>
      <c r="F19" s="8">
        <v>11.65</v>
      </c>
      <c r="G19" s="8">
        <v>12.17</v>
      </c>
      <c r="H19" s="8">
        <v>12.74</v>
      </c>
      <c r="I19" s="8">
        <v>13.37</v>
      </c>
      <c r="J19" s="8">
        <v>14.07</v>
      </c>
      <c r="K19" s="8">
        <v>14.84</v>
      </c>
      <c r="L19" s="8">
        <v>15.68</v>
      </c>
      <c r="M19" s="8">
        <v>16.61</v>
      </c>
      <c r="N19" s="8">
        <v>17.63</v>
      </c>
      <c r="O19" s="8">
        <v>18.76</v>
      </c>
      <c r="P19" s="8">
        <v>20.0</v>
      </c>
    </row>
    <row r="20">
      <c r="A20" s="7" t="s">
        <v>54</v>
      </c>
      <c r="B20" s="8">
        <v>10.0</v>
      </c>
      <c r="C20" s="8">
        <v>11.78</v>
      </c>
      <c r="D20" s="8">
        <v>13.74</v>
      </c>
      <c r="E20" s="8">
        <v>15.89</v>
      </c>
      <c r="F20" s="8">
        <v>18.25</v>
      </c>
      <c r="G20" s="8">
        <v>20.86</v>
      </c>
      <c r="H20" s="8">
        <v>23.72</v>
      </c>
      <c r="I20" s="8">
        <v>26.88</v>
      </c>
      <c r="J20" s="8">
        <v>30.36</v>
      </c>
      <c r="K20" s="8">
        <v>34.19</v>
      </c>
      <c r="L20" s="8">
        <v>38.41</v>
      </c>
      <c r="M20" s="8">
        <v>43.05</v>
      </c>
      <c r="N20" s="8">
        <v>48.16</v>
      </c>
      <c r="O20" s="8">
        <v>53.79</v>
      </c>
      <c r="P20" s="8">
        <v>60.0</v>
      </c>
    </row>
    <row r="21">
      <c r="A21" s="7" t="s">
        <v>56</v>
      </c>
      <c r="B21" s="8">
        <v>10.0</v>
      </c>
      <c r="C21" s="8">
        <v>10.44</v>
      </c>
      <c r="D21" s="8">
        <v>10.95</v>
      </c>
      <c r="E21" s="8">
        <v>13.54</v>
      </c>
      <c r="F21" s="8">
        <v>14.22</v>
      </c>
      <c r="G21" s="8">
        <v>15.0</v>
      </c>
      <c r="H21" s="8">
        <v>15.89</v>
      </c>
      <c r="I21" s="8">
        <v>16.92</v>
      </c>
      <c r="J21" s="8">
        <v>18.1</v>
      </c>
      <c r="K21" s="8">
        <v>19.46</v>
      </c>
      <c r="L21" s="8">
        <v>21.02</v>
      </c>
      <c r="M21" s="8">
        <v>22.82</v>
      </c>
      <c r="N21" s="8">
        <v>24.89</v>
      </c>
      <c r="O21" s="8">
        <v>27.27</v>
      </c>
      <c r="P21" s="8">
        <v>30.0</v>
      </c>
    </row>
    <row r="22">
      <c r="A22" s="7" t="s">
        <v>58</v>
      </c>
      <c r="B22" s="8">
        <v>10.0</v>
      </c>
      <c r="C22" s="8">
        <v>10.71</v>
      </c>
      <c r="D22" s="8">
        <v>11.49</v>
      </c>
      <c r="E22" s="8">
        <v>12.35</v>
      </c>
      <c r="F22" s="8">
        <v>13.3</v>
      </c>
      <c r="G22" s="8">
        <v>14.34</v>
      </c>
      <c r="H22" s="8">
        <v>15.49</v>
      </c>
      <c r="I22" s="8">
        <v>16.75</v>
      </c>
      <c r="J22" s="8">
        <v>18.14</v>
      </c>
      <c r="K22" s="8">
        <v>19.67</v>
      </c>
      <c r="L22" s="8">
        <v>21.36</v>
      </c>
      <c r="M22" s="8">
        <v>23.22</v>
      </c>
      <c r="N22" s="8">
        <v>25.27</v>
      </c>
      <c r="O22" s="8">
        <v>27.52</v>
      </c>
      <c r="P22" s="8">
        <v>30.0</v>
      </c>
    </row>
    <row r="23">
      <c r="A23" s="7" t="s">
        <v>59</v>
      </c>
      <c r="B23" s="8">
        <v>10.0</v>
      </c>
      <c r="C23" s="8">
        <v>11.57</v>
      </c>
      <c r="D23" s="8">
        <v>13.46</v>
      </c>
      <c r="E23" s="8">
        <v>15.73</v>
      </c>
      <c r="F23" s="8">
        <v>23.96</v>
      </c>
      <c r="G23" s="8">
        <v>27.24</v>
      </c>
      <c r="H23" s="8">
        <v>42.17</v>
      </c>
      <c r="I23" s="8">
        <v>46.89</v>
      </c>
      <c r="J23" s="8">
        <v>52.55</v>
      </c>
      <c r="K23" s="8">
        <v>59.34</v>
      </c>
      <c r="L23" s="8">
        <v>67.5</v>
      </c>
      <c r="M23" s="8">
        <v>77.28</v>
      </c>
      <c r="N23" s="8">
        <v>89.02</v>
      </c>
      <c r="O23" s="8">
        <v>103.1</v>
      </c>
      <c r="P23" s="8">
        <v>120.0</v>
      </c>
    </row>
    <row r="24">
      <c r="A24" s="7" t="s">
        <v>60</v>
      </c>
      <c r="B24" s="8">
        <v>10.0</v>
      </c>
      <c r="C24" s="8">
        <v>10.21</v>
      </c>
      <c r="D24" s="8">
        <v>10.47</v>
      </c>
      <c r="E24" s="8">
        <v>11.53</v>
      </c>
      <c r="F24" s="8">
        <v>11.9</v>
      </c>
      <c r="G24" s="8">
        <v>13.85</v>
      </c>
      <c r="H24" s="8">
        <v>14.39</v>
      </c>
      <c r="I24" s="8">
        <v>15.03</v>
      </c>
      <c r="J24" s="8">
        <v>15.8</v>
      </c>
      <c r="K24" s="8">
        <v>16.73</v>
      </c>
      <c r="L24" s="8">
        <v>17.84</v>
      </c>
      <c r="M24" s="8">
        <v>19.17</v>
      </c>
      <c r="N24" s="8">
        <v>20.77</v>
      </c>
      <c r="O24" s="8">
        <v>22.69</v>
      </c>
      <c r="P24" s="8">
        <v>24.99</v>
      </c>
    </row>
    <row r="25">
      <c r="A25" s="7" t="s">
        <v>61</v>
      </c>
      <c r="B25" s="8">
        <v>10.0</v>
      </c>
      <c r="C25" s="8">
        <v>10.71</v>
      </c>
      <c r="D25" s="8">
        <v>11.49</v>
      </c>
      <c r="E25" s="8">
        <v>12.35</v>
      </c>
      <c r="F25" s="8">
        <v>13.3</v>
      </c>
      <c r="G25" s="8">
        <v>14.34</v>
      </c>
      <c r="H25" s="8">
        <v>15.49</v>
      </c>
      <c r="I25" s="8">
        <v>16.75</v>
      </c>
      <c r="J25" s="8">
        <v>18.14</v>
      </c>
      <c r="K25" s="8">
        <v>19.67</v>
      </c>
      <c r="L25" s="8">
        <v>21.36</v>
      </c>
      <c r="M25" s="8">
        <v>23.22</v>
      </c>
      <c r="N25" s="8">
        <v>25.27</v>
      </c>
      <c r="O25" s="8">
        <v>27.52</v>
      </c>
      <c r="P25" s="8">
        <v>30.0</v>
      </c>
    </row>
    <row r="26">
      <c r="A26" s="7" t="s">
        <v>65</v>
      </c>
      <c r="B26" s="8">
        <v>10.0</v>
      </c>
      <c r="C26" s="8">
        <v>10.44</v>
      </c>
      <c r="D26" s="8">
        <v>10.95</v>
      </c>
      <c r="E26" s="8">
        <v>11.54</v>
      </c>
      <c r="F26" s="8">
        <v>14.22</v>
      </c>
      <c r="G26" s="8">
        <v>15.0</v>
      </c>
      <c r="H26" s="8">
        <v>15.89</v>
      </c>
      <c r="I26" s="8">
        <v>16.92</v>
      </c>
      <c r="J26" s="8">
        <v>18.1</v>
      </c>
      <c r="K26" s="8">
        <v>19.46</v>
      </c>
      <c r="L26" s="8">
        <v>21.02</v>
      </c>
      <c r="M26" s="8">
        <v>22.82</v>
      </c>
      <c r="N26" s="8">
        <v>24.89</v>
      </c>
      <c r="O26" s="8">
        <v>27.27</v>
      </c>
      <c r="P26" s="8">
        <v>30.0</v>
      </c>
    </row>
    <row r="27">
      <c r="A27" s="7" t="s">
        <v>68</v>
      </c>
      <c r="B27" s="16">
        <v>10.0</v>
      </c>
      <c r="C27" s="16">
        <v>11.01</v>
      </c>
      <c r="D27" s="16">
        <v>12.22</v>
      </c>
      <c r="E27" s="16">
        <v>13.67</v>
      </c>
      <c r="F27" s="16">
        <v>18.91</v>
      </c>
      <c r="G27" s="16">
        <v>20.99</v>
      </c>
      <c r="H27" s="16">
        <v>23.49</v>
      </c>
      <c r="I27" s="16">
        <v>26.49</v>
      </c>
      <c r="J27" s="16">
        <v>37.09</v>
      </c>
      <c r="K27" s="16">
        <v>41.41</v>
      </c>
      <c r="L27" s="16">
        <v>46.6</v>
      </c>
      <c r="M27" s="16">
        <v>52.82</v>
      </c>
      <c r="N27" s="16">
        <v>60.29</v>
      </c>
      <c r="O27" s="16">
        <v>69.25</v>
      </c>
      <c r="P27" s="16">
        <v>80.0</v>
      </c>
    </row>
    <row r="28">
      <c r="A28" s="7" t="s">
        <v>69</v>
      </c>
      <c r="B28" s="16">
        <v>10.0</v>
      </c>
      <c r="C28" s="16">
        <v>10.57</v>
      </c>
      <c r="D28" s="16">
        <v>11.26</v>
      </c>
      <c r="E28" s="16">
        <v>12.08</v>
      </c>
      <c r="F28" s="16">
        <v>15.07</v>
      </c>
      <c r="G28" s="16">
        <v>16.26</v>
      </c>
      <c r="H28" s="16">
        <v>17.69</v>
      </c>
      <c r="I28" s="16">
        <v>23.41</v>
      </c>
      <c r="J28" s="16">
        <v>25.47</v>
      </c>
      <c r="K28" s="16">
        <v>27.94</v>
      </c>
      <c r="L28" s="16">
        <v>30.91</v>
      </c>
      <c r="M28" s="16">
        <v>34.47</v>
      </c>
      <c r="N28" s="16">
        <v>38.74</v>
      </c>
      <c r="O28" s="16">
        <v>43.86</v>
      </c>
      <c r="P28" s="16">
        <v>50.0</v>
      </c>
    </row>
    <row r="29">
      <c r="A29" s="7" t="s">
        <v>71</v>
      </c>
      <c r="B29" s="16">
        <v>10.0</v>
      </c>
      <c r="C29" s="16">
        <v>13.14</v>
      </c>
      <c r="D29" s="16">
        <v>16.59</v>
      </c>
      <c r="E29" s="16">
        <v>20.39</v>
      </c>
      <c r="F29" s="16">
        <v>24.57</v>
      </c>
      <c r="G29" s="16">
        <v>29.16</v>
      </c>
      <c r="H29" s="16">
        <v>34.21</v>
      </c>
      <c r="I29" s="16">
        <v>39.77</v>
      </c>
      <c r="J29" s="16">
        <v>45.88</v>
      </c>
      <c r="K29" s="16">
        <v>52.6</v>
      </c>
      <c r="L29" s="16">
        <v>60.0</v>
      </c>
      <c r="M29" s="16">
        <v>60.0</v>
      </c>
      <c r="N29" s="16">
        <v>60.0</v>
      </c>
      <c r="O29" s="16">
        <v>60.0</v>
      </c>
      <c r="P29" s="16">
        <v>60.0</v>
      </c>
    </row>
    <row r="30">
      <c r="A30" s="7" t="s">
        <v>73</v>
      </c>
      <c r="B30" s="16">
        <v>10.0</v>
      </c>
      <c r="C30" s="16">
        <v>10.22</v>
      </c>
      <c r="D30" s="16">
        <v>10.47</v>
      </c>
      <c r="E30" s="16">
        <v>11.76</v>
      </c>
      <c r="F30" s="16">
        <v>12.1</v>
      </c>
      <c r="G30" s="16">
        <v>12.49</v>
      </c>
      <c r="H30" s="16">
        <v>12.94</v>
      </c>
      <c r="I30" s="16">
        <v>13.45</v>
      </c>
      <c r="J30" s="16">
        <v>14.04</v>
      </c>
      <c r="K30" s="16">
        <v>14.72</v>
      </c>
      <c r="L30" s="16">
        <v>15.5</v>
      </c>
      <c r="M30" s="16">
        <v>16.4</v>
      </c>
      <c r="N30" s="16">
        <v>17.43</v>
      </c>
      <c r="O30" s="16">
        <v>18.62</v>
      </c>
      <c r="P30" s="16">
        <v>19.99</v>
      </c>
    </row>
    <row r="31">
      <c r="A31" s="7" t="s">
        <v>75</v>
      </c>
      <c r="B31" s="18">
        <v>10.0</v>
      </c>
      <c r="C31" s="18">
        <v>10.5</v>
      </c>
      <c r="D31" s="18">
        <v>11.1</v>
      </c>
      <c r="E31" s="18">
        <v>11.82</v>
      </c>
      <c r="F31" s="18">
        <v>15.31</v>
      </c>
      <c r="G31" s="18">
        <v>16.35</v>
      </c>
      <c r="H31" s="18">
        <v>20.23</v>
      </c>
      <c r="I31" s="18">
        <v>21.73</v>
      </c>
      <c r="J31" s="18">
        <v>23.53</v>
      </c>
      <c r="K31" s="18">
        <v>25.69</v>
      </c>
      <c r="L31" s="18">
        <v>28.29</v>
      </c>
      <c r="M31" s="18">
        <v>31.4</v>
      </c>
      <c r="N31" s="18">
        <v>35.14</v>
      </c>
      <c r="O31" s="18">
        <v>39.62</v>
      </c>
      <c r="P31" s="18">
        <v>45.0</v>
      </c>
    </row>
    <row r="32">
      <c r="A32" s="7" t="s">
        <v>77</v>
      </c>
      <c r="B32" s="16">
        <v>10.0</v>
      </c>
      <c r="C32" s="16">
        <v>10.0</v>
      </c>
      <c r="D32" s="16">
        <v>10.0</v>
      </c>
      <c r="E32" s="16">
        <v>10.0</v>
      </c>
      <c r="F32" s="16">
        <v>10.0</v>
      </c>
      <c r="G32" s="16">
        <v>10.0</v>
      </c>
      <c r="H32" s="16">
        <v>10.0</v>
      </c>
      <c r="I32" s="16">
        <v>10.0</v>
      </c>
      <c r="J32" s="16">
        <v>10.0</v>
      </c>
      <c r="K32" s="16">
        <v>10.0</v>
      </c>
      <c r="L32" s="16">
        <v>10.0</v>
      </c>
      <c r="M32" s="16">
        <v>10.0</v>
      </c>
      <c r="N32" s="16">
        <v>10.0</v>
      </c>
      <c r="O32" s="16">
        <v>10.0</v>
      </c>
      <c r="P32" s="16">
        <v>10.0</v>
      </c>
    </row>
    <row r="33">
      <c r="A33" s="7" t="s">
        <v>80</v>
      </c>
      <c r="B33" s="16">
        <v>10.0</v>
      </c>
      <c r="C33" s="16">
        <v>10.71</v>
      </c>
      <c r="D33" s="16">
        <v>11.49</v>
      </c>
      <c r="E33" s="16">
        <v>12.35</v>
      </c>
      <c r="F33" s="16">
        <v>13.3</v>
      </c>
      <c r="G33" s="16">
        <v>14.34</v>
      </c>
      <c r="H33" s="16">
        <v>15.49</v>
      </c>
      <c r="I33" s="16">
        <v>16.75</v>
      </c>
      <c r="J33" s="16">
        <v>18.14</v>
      </c>
      <c r="K33" s="16">
        <v>19.67</v>
      </c>
      <c r="L33" s="16">
        <v>21.36</v>
      </c>
      <c r="M33" s="16">
        <v>23.22</v>
      </c>
      <c r="N33" s="16">
        <v>25.27</v>
      </c>
      <c r="O33" s="16">
        <v>27.52</v>
      </c>
      <c r="P33" s="16">
        <v>30.0</v>
      </c>
    </row>
    <row r="34">
      <c r="A34" s="7" t="s">
        <v>81</v>
      </c>
      <c r="B34" s="18">
        <v>10.0</v>
      </c>
      <c r="C34" s="18">
        <v>10.43</v>
      </c>
      <c r="D34" s="18">
        <v>10.95</v>
      </c>
      <c r="E34" s="18">
        <v>11.57</v>
      </c>
      <c r="F34" s="18">
        <v>13.81</v>
      </c>
      <c r="G34" s="18">
        <v>14.71</v>
      </c>
      <c r="H34" s="18">
        <v>18.78</v>
      </c>
      <c r="I34" s="18">
        <v>20.06</v>
      </c>
      <c r="J34" s="18">
        <v>21.61</v>
      </c>
      <c r="K34" s="18">
        <v>23.46</v>
      </c>
      <c r="L34" s="18">
        <v>25.68</v>
      </c>
      <c r="M34" s="18">
        <v>28.35</v>
      </c>
      <c r="N34" s="18">
        <v>31.55</v>
      </c>
      <c r="O34" s="18">
        <v>35.39</v>
      </c>
      <c r="P34" s="18">
        <v>40.0</v>
      </c>
    </row>
    <row r="35">
      <c r="A35" s="7" t="s">
        <v>83</v>
      </c>
      <c r="B35" s="16">
        <v>10.0</v>
      </c>
      <c r="C35" s="16">
        <v>10.5</v>
      </c>
      <c r="D35" s="16">
        <v>11.1</v>
      </c>
      <c r="E35" s="16">
        <v>11.82</v>
      </c>
      <c r="F35" s="16">
        <v>14.44</v>
      </c>
      <c r="G35" s="16">
        <v>15.48</v>
      </c>
      <c r="H35" s="16">
        <v>16.73</v>
      </c>
      <c r="I35" s="16">
        <v>18.23</v>
      </c>
      <c r="J35" s="16">
        <v>23.53</v>
      </c>
      <c r="K35" s="16">
        <v>25.69</v>
      </c>
      <c r="L35" s="16">
        <v>28.28</v>
      </c>
      <c r="M35" s="16">
        <v>31.39</v>
      </c>
      <c r="N35" s="16">
        <v>35.12</v>
      </c>
      <c r="O35" s="16">
        <v>39.6</v>
      </c>
      <c r="P35" s="16">
        <v>45.0</v>
      </c>
    </row>
    <row r="36">
      <c r="A36" s="7" t="s">
        <v>86</v>
      </c>
      <c r="B36" s="16">
        <v>10.0</v>
      </c>
      <c r="C36" s="16">
        <v>10.0</v>
      </c>
      <c r="D36" s="16">
        <v>10.0</v>
      </c>
      <c r="E36" s="16">
        <v>10.0</v>
      </c>
      <c r="F36" s="16">
        <v>10.0</v>
      </c>
      <c r="G36" s="16">
        <v>10.0</v>
      </c>
      <c r="H36" s="16">
        <v>10.0</v>
      </c>
      <c r="I36" s="16">
        <v>10.0</v>
      </c>
      <c r="J36" s="16">
        <v>10.0</v>
      </c>
      <c r="K36" s="16">
        <v>10.0</v>
      </c>
      <c r="L36" s="16">
        <v>10.0</v>
      </c>
      <c r="M36" s="16">
        <v>10.0</v>
      </c>
      <c r="N36" s="16">
        <v>10.0</v>
      </c>
      <c r="O36" s="16">
        <v>10.0</v>
      </c>
      <c r="P36" s="16">
        <v>10.0</v>
      </c>
    </row>
    <row r="37">
      <c r="A37" s="7" t="s">
        <v>87</v>
      </c>
      <c r="B37" s="16">
        <v>10.0</v>
      </c>
      <c r="C37" s="16">
        <v>10.43</v>
      </c>
      <c r="D37" s="16">
        <v>10.94</v>
      </c>
      <c r="E37" s="16">
        <v>11.56</v>
      </c>
      <c r="F37" s="16">
        <v>13.8</v>
      </c>
      <c r="G37" s="16">
        <v>14.69</v>
      </c>
      <c r="H37" s="16">
        <v>15.76</v>
      </c>
      <c r="I37" s="16">
        <v>17.05</v>
      </c>
      <c r="J37" s="16">
        <v>21.59</v>
      </c>
      <c r="K37" s="16">
        <v>23.44</v>
      </c>
      <c r="L37" s="16">
        <v>25.66</v>
      </c>
      <c r="M37" s="16">
        <v>28.33</v>
      </c>
      <c r="N37" s="16">
        <v>31.53</v>
      </c>
      <c r="O37" s="16">
        <v>35.37</v>
      </c>
      <c r="P37" s="16">
        <v>39.98</v>
      </c>
    </row>
    <row r="38">
      <c r="A38" s="7" t="s">
        <v>90</v>
      </c>
      <c r="B38" s="16">
        <v>10.0</v>
      </c>
      <c r="C38" s="16">
        <v>12.0</v>
      </c>
      <c r="D38" s="16">
        <v>14.29</v>
      </c>
      <c r="E38" s="16">
        <v>25.93</v>
      </c>
      <c r="F38" s="16">
        <v>28.97</v>
      </c>
      <c r="G38" s="16">
        <v>32.46</v>
      </c>
      <c r="H38" s="16">
        <v>36.47</v>
      </c>
      <c r="I38" s="16">
        <v>41.09</v>
      </c>
      <c r="J38" s="16">
        <v>46.41</v>
      </c>
      <c r="K38" s="16">
        <v>52.53</v>
      </c>
      <c r="L38" s="16">
        <v>59.57</v>
      </c>
      <c r="M38" s="16">
        <v>67.67</v>
      </c>
      <c r="N38" s="16">
        <v>76.99</v>
      </c>
      <c r="O38" s="16">
        <v>87.7</v>
      </c>
      <c r="P38" s="16">
        <v>100.0</v>
      </c>
    </row>
    <row r="39">
      <c r="A39" s="7" t="s">
        <v>91</v>
      </c>
      <c r="B39" s="16">
        <v>10.0</v>
      </c>
      <c r="C39" s="16">
        <v>10.29</v>
      </c>
      <c r="D39" s="16">
        <v>10.63</v>
      </c>
      <c r="E39" s="16">
        <v>11.04</v>
      </c>
      <c r="F39" s="16">
        <v>12.54</v>
      </c>
      <c r="G39" s="16">
        <v>13.14</v>
      </c>
      <c r="H39" s="16">
        <v>13.86</v>
      </c>
      <c r="I39" s="16">
        <v>16.72</v>
      </c>
      <c r="J39" s="16">
        <v>17.75</v>
      </c>
      <c r="K39" s="16">
        <v>18.98</v>
      </c>
      <c r="L39" s="16">
        <v>20.46</v>
      </c>
      <c r="M39" s="16">
        <v>22.24</v>
      </c>
      <c r="N39" s="16">
        <v>24.37</v>
      </c>
      <c r="O39" s="16">
        <v>26.93</v>
      </c>
      <c r="P39" s="16">
        <v>30.0</v>
      </c>
    </row>
    <row r="40">
      <c r="A40" s="7" t="s">
        <v>93</v>
      </c>
      <c r="B40" s="16">
        <v>10.0</v>
      </c>
      <c r="C40" s="16">
        <v>10.44</v>
      </c>
      <c r="D40" s="16">
        <v>10.95</v>
      </c>
      <c r="E40" s="16">
        <v>11.54</v>
      </c>
      <c r="F40" s="16">
        <v>14.22</v>
      </c>
      <c r="G40" s="16">
        <v>15.0</v>
      </c>
      <c r="H40" s="16">
        <v>15.89</v>
      </c>
      <c r="I40" s="16">
        <v>16.92</v>
      </c>
      <c r="J40" s="16">
        <v>18.1</v>
      </c>
      <c r="K40" s="16">
        <v>19.46</v>
      </c>
      <c r="L40" s="16">
        <v>21.02</v>
      </c>
      <c r="M40" s="16">
        <v>22.82</v>
      </c>
      <c r="N40" s="16">
        <v>24.89</v>
      </c>
      <c r="O40" s="16">
        <v>27.27</v>
      </c>
      <c r="P40" s="16">
        <v>30.0</v>
      </c>
    </row>
    <row r="41">
      <c r="A41" s="7" t="s">
        <v>95</v>
      </c>
      <c r="B41" s="16">
        <v>10.0</v>
      </c>
      <c r="C41" s="16">
        <v>11.57</v>
      </c>
      <c r="D41" s="16">
        <v>13.46</v>
      </c>
      <c r="E41" s="16">
        <v>15.73</v>
      </c>
      <c r="F41" s="16">
        <v>23.96</v>
      </c>
      <c r="G41" s="16">
        <v>27.24</v>
      </c>
      <c r="H41" s="16">
        <v>42.17</v>
      </c>
      <c r="I41" s="16">
        <v>46.89</v>
      </c>
      <c r="J41" s="16">
        <v>52.55</v>
      </c>
      <c r="K41" s="16">
        <v>59.34</v>
      </c>
      <c r="L41" s="16">
        <v>67.5</v>
      </c>
      <c r="M41" s="16">
        <v>77.28</v>
      </c>
      <c r="N41" s="16">
        <v>89.02</v>
      </c>
      <c r="O41" s="16">
        <v>103.1</v>
      </c>
      <c r="P41" s="16">
        <v>120.0</v>
      </c>
    </row>
    <row r="42">
      <c r="A42" s="7" t="s">
        <v>97</v>
      </c>
      <c r="B42" s="16">
        <v>10.0</v>
      </c>
      <c r="C42" s="16">
        <v>10.0</v>
      </c>
      <c r="D42" s="16">
        <v>10.0</v>
      </c>
      <c r="E42" s="16">
        <v>10.0</v>
      </c>
      <c r="F42" s="16">
        <v>10.0</v>
      </c>
      <c r="G42" s="16">
        <v>10.0</v>
      </c>
      <c r="H42" s="16">
        <v>10.0</v>
      </c>
      <c r="I42" s="16">
        <v>10.0</v>
      </c>
      <c r="J42" s="16">
        <v>10.0</v>
      </c>
      <c r="K42" s="16">
        <v>10.0</v>
      </c>
      <c r="L42" s="16">
        <v>10.0</v>
      </c>
      <c r="M42" s="16">
        <v>10.0</v>
      </c>
      <c r="N42" s="16">
        <v>10.0</v>
      </c>
      <c r="O42" s="16">
        <v>10.0</v>
      </c>
      <c r="P42" s="16">
        <v>10.0</v>
      </c>
    </row>
    <row r="43">
      <c r="A43" s="7" t="s">
        <v>98</v>
      </c>
      <c r="B43" s="16">
        <v>10.0</v>
      </c>
      <c r="C43" s="16">
        <v>10.0</v>
      </c>
      <c r="D43" s="16">
        <v>10.0</v>
      </c>
      <c r="E43" s="16">
        <v>10.0</v>
      </c>
      <c r="F43" s="16">
        <v>10.0</v>
      </c>
      <c r="G43" s="16">
        <v>10.0</v>
      </c>
      <c r="H43" s="16">
        <v>10.0</v>
      </c>
      <c r="I43" s="16">
        <v>10.0</v>
      </c>
      <c r="J43" s="16">
        <v>10.0</v>
      </c>
      <c r="K43" s="16">
        <v>10.0</v>
      </c>
      <c r="L43" s="16">
        <v>10.0</v>
      </c>
      <c r="M43" s="16">
        <v>10.0</v>
      </c>
      <c r="N43" s="16">
        <v>10.0</v>
      </c>
      <c r="O43" s="16">
        <v>10.0</v>
      </c>
      <c r="P43" s="16">
        <v>10.0</v>
      </c>
    </row>
    <row r="44">
      <c r="A44" s="7" t="s">
        <v>99</v>
      </c>
      <c r="B44" s="16">
        <v>10.0</v>
      </c>
      <c r="C44" s="16">
        <v>10.71</v>
      </c>
      <c r="D44" s="16">
        <v>11.49</v>
      </c>
      <c r="E44" s="16">
        <v>12.35</v>
      </c>
      <c r="F44" s="16">
        <v>13.3</v>
      </c>
      <c r="G44" s="16">
        <v>14.34</v>
      </c>
      <c r="H44" s="16">
        <v>15.49</v>
      </c>
      <c r="I44" s="16">
        <v>16.75</v>
      </c>
      <c r="J44" s="16">
        <v>18.14</v>
      </c>
      <c r="K44" s="16">
        <v>19.67</v>
      </c>
      <c r="L44" s="16">
        <v>21.36</v>
      </c>
      <c r="M44" s="16">
        <v>23.22</v>
      </c>
      <c r="N44" s="16">
        <v>25.27</v>
      </c>
      <c r="O44" s="16">
        <v>27.52</v>
      </c>
      <c r="P44" s="16">
        <v>30.0</v>
      </c>
    </row>
    <row r="45">
      <c r="A45" s="7" t="s">
        <v>100</v>
      </c>
      <c r="B45" s="16">
        <v>10.0</v>
      </c>
      <c r="C45" s="16">
        <v>11.07</v>
      </c>
      <c r="D45" s="16">
        <v>12.24</v>
      </c>
      <c r="E45" s="16">
        <v>13.53</v>
      </c>
      <c r="F45" s="16">
        <v>14.95</v>
      </c>
      <c r="G45" s="16">
        <v>16.51</v>
      </c>
      <c r="H45" s="16">
        <v>18.23</v>
      </c>
      <c r="I45" s="16">
        <v>20.12</v>
      </c>
      <c r="J45" s="16">
        <v>22.21</v>
      </c>
      <c r="K45" s="16">
        <v>24.51</v>
      </c>
      <c r="L45" s="16">
        <v>27.04</v>
      </c>
      <c r="M45" s="16">
        <v>29.83</v>
      </c>
      <c r="N45" s="16">
        <v>32.9</v>
      </c>
      <c r="O45" s="16">
        <v>36.28</v>
      </c>
      <c r="P45" s="16">
        <v>40.0</v>
      </c>
    </row>
    <row r="46">
      <c r="A46" s="7" t="s">
        <v>101</v>
      </c>
      <c r="B46" s="16">
        <v>10.0</v>
      </c>
      <c r="C46" s="16">
        <v>11.0</v>
      </c>
      <c r="D46" s="16">
        <v>12.2</v>
      </c>
      <c r="E46" s="16">
        <v>13.64</v>
      </c>
      <c r="F46" s="16">
        <v>18.88</v>
      </c>
      <c r="G46" s="16">
        <v>20.97</v>
      </c>
      <c r="H46" s="16">
        <v>30.47</v>
      </c>
      <c r="I46" s="16">
        <v>33.47</v>
      </c>
      <c r="J46" s="16">
        <v>37.07</v>
      </c>
      <c r="K46" s="16">
        <v>41.39</v>
      </c>
      <c r="L46" s="16">
        <v>46.58</v>
      </c>
      <c r="M46" s="16">
        <v>52.81</v>
      </c>
      <c r="N46" s="16">
        <v>60.28</v>
      </c>
      <c r="O46" s="16">
        <v>69.24</v>
      </c>
      <c r="P46" s="16">
        <v>80.0</v>
      </c>
    </row>
    <row r="47">
      <c r="A47" s="7" t="s">
        <v>105</v>
      </c>
      <c r="B47" s="16">
        <v>10.0</v>
      </c>
      <c r="C47" s="16">
        <v>10.71</v>
      </c>
      <c r="D47" s="16">
        <v>11.49</v>
      </c>
      <c r="E47" s="16">
        <v>12.35</v>
      </c>
      <c r="F47" s="16">
        <v>13.3</v>
      </c>
      <c r="G47" s="16">
        <v>14.34</v>
      </c>
      <c r="H47" s="16">
        <v>15.49</v>
      </c>
      <c r="I47" s="16">
        <v>16.75</v>
      </c>
      <c r="J47" s="16">
        <v>18.14</v>
      </c>
      <c r="K47" s="16">
        <v>19.67</v>
      </c>
      <c r="L47" s="16">
        <v>21.36</v>
      </c>
      <c r="M47" s="16">
        <v>23.22</v>
      </c>
      <c r="N47" s="16">
        <v>25.27</v>
      </c>
      <c r="O47" s="16">
        <v>27.52</v>
      </c>
      <c r="P47" s="16">
        <v>30.0</v>
      </c>
    </row>
    <row r="48">
      <c r="A48" s="7" t="s">
        <v>106</v>
      </c>
      <c r="B48" s="18">
        <v>10.0</v>
      </c>
      <c r="C48" s="18">
        <v>10.36</v>
      </c>
      <c r="D48" s="18">
        <v>10.75</v>
      </c>
      <c r="E48" s="18">
        <v>11.18</v>
      </c>
      <c r="F48" s="18">
        <v>11.65</v>
      </c>
      <c r="G48" s="18">
        <v>12.17</v>
      </c>
      <c r="H48" s="18">
        <v>12.74</v>
      </c>
      <c r="I48" s="18">
        <v>13.37</v>
      </c>
      <c r="J48" s="18">
        <v>14.07</v>
      </c>
      <c r="K48" s="18">
        <v>14.84</v>
      </c>
      <c r="L48" s="18">
        <v>15.68</v>
      </c>
      <c r="M48" s="18">
        <v>16.61</v>
      </c>
      <c r="N48" s="18">
        <v>17.63</v>
      </c>
      <c r="O48" s="18">
        <v>18.76</v>
      </c>
      <c r="P48" s="18">
        <v>20.0</v>
      </c>
    </row>
    <row r="49">
      <c r="A49" s="7" t="s">
        <v>107</v>
      </c>
      <c r="B49" s="18">
        <v>10.0</v>
      </c>
      <c r="C49" s="18">
        <v>10.36</v>
      </c>
      <c r="D49" s="18">
        <v>10.75</v>
      </c>
      <c r="E49" s="18">
        <v>11.18</v>
      </c>
      <c r="F49" s="18">
        <v>11.65</v>
      </c>
      <c r="G49" s="18">
        <v>12.17</v>
      </c>
      <c r="H49" s="18">
        <v>12.74</v>
      </c>
      <c r="I49" s="18">
        <v>13.37</v>
      </c>
      <c r="J49" s="18">
        <v>14.07</v>
      </c>
      <c r="K49" s="18">
        <v>14.84</v>
      </c>
      <c r="L49" s="18">
        <v>15.68</v>
      </c>
      <c r="M49" s="18">
        <v>16.61</v>
      </c>
      <c r="N49" s="18">
        <v>17.63</v>
      </c>
      <c r="O49" s="18">
        <v>18.76</v>
      </c>
      <c r="P49" s="18">
        <v>20.0</v>
      </c>
    </row>
    <row r="50">
      <c r="A50" s="7" t="s">
        <v>108</v>
      </c>
      <c r="B50" s="16">
        <v>10.0</v>
      </c>
      <c r="C50" s="16">
        <v>10.44</v>
      </c>
      <c r="D50" s="16">
        <v>10.95</v>
      </c>
      <c r="E50" s="16">
        <v>13.54</v>
      </c>
      <c r="F50" s="16">
        <v>14.22</v>
      </c>
      <c r="G50" s="16">
        <v>15.0</v>
      </c>
      <c r="H50" s="16">
        <v>15.89</v>
      </c>
      <c r="I50" s="16">
        <v>16.92</v>
      </c>
      <c r="J50" s="16">
        <v>18.1</v>
      </c>
      <c r="K50" s="16">
        <v>19.46</v>
      </c>
      <c r="L50" s="16">
        <v>21.02</v>
      </c>
      <c r="M50" s="16">
        <v>22.82</v>
      </c>
      <c r="N50" s="16">
        <v>24.89</v>
      </c>
      <c r="O50" s="16">
        <v>27.27</v>
      </c>
      <c r="P50" s="16">
        <v>30.0</v>
      </c>
    </row>
    <row r="51">
      <c r="A51" s="7" t="s">
        <v>109</v>
      </c>
      <c r="B51" s="16">
        <v>10.0</v>
      </c>
      <c r="C51" s="16">
        <v>11.07</v>
      </c>
      <c r="D51" s="16">
        <v>12.24</v>
      </c>
      <c r="E51" s="16">
        <v>13.53</v>
      </c>
      <c r="F51" s="16">
        <v>14.95</v>
      </c>
      <c r="G51" s="16">
        <v>16.51</v>
      </c>
      <c r="H51" s="16">
        <v>18.23</v>
      </c>
      <c r="I51" s="16">
        <v>20.12</v>
      </c>
      <c r="J51" s="16">
        <v>22.21</v>
      </c>
      <c r="K51" s="16">
        <v>24.51</v>
      </c>
      <c r="L51" s="16">
        <v>27.04</v>
      </c>
      <c r="M51" s="16">
        <v>29.83</v>
      </c>
      <c r="N51" s="16">
        <v>32.9</v>
      </c>
      <c r="O51" s="16">
        <v>36.28</v>
      </c>
      <c r="P51" s="16">
        <v>40.0</v>
      </c>
    </row>
    <row r="52">
      <c r="A52" s="7" t="s">
        <v>110</v>
      </c>
      <c r="B52" s="16">
        <v>10.0</v>
      </c>
      <c r="C52" s="16">
        <v>11.07</v>
      </c>
      <c r="D52" s="16">
        <v>12.24</v>
      </c>
      <c r="E52" s="16">
        <v>13.53</v>
      </c>
      <c r="F52" s="16">
        <v>14.95</v>
      </c>
      <c r="G52" s="16">
        <v>16.51</v>
      </c>
      <c r="H52" s="16">
        <v>18.23</v>
      </c>
      <c r="I52" s="16">
        <v>20.12</v>
      </c>
      <c r="J52" s="16">
        <v>22.21</v>
      </c>
      <c r="K52" s="16">
        <v>24.51</v>
      </c>
      <c r="L52" s="16">
        <v>27.04</v>
      </c>
      <c r="M52" s="16">
        <v>29.83</v>
      </c>
      <c r="N52" s="16">
        <v>32.9</v>
      </c>
      <c r="O52" s="16">
        <v>36.28</v>
      </c>
      <c r="P52" s="16">
        <v>40.0</v>
      </c>
    </row>
    <row r="53">
      <c r="A53" s="7" t="s">
        <v>111</v>
      </c>
      <c r="B53" s="16">
        <v>10.0</v>
      </c>
      <c r="C53" s="16">
        <v>10.29</v>
      </c>
      <c r="D53" s="16">
        <v>10.63</v>
      </c>
      <c r="E53" s="16">
        <v>11.04</v>
      </c>
      <c r="F53" s="16">
        <v>12.54</v>
      </c>
      <c r="G53" s="16">
        <v>13.14</v>
      </c>
      <c r="H53" s="16">
        <v>13.86</v>
      </c>
      <c r="I53" s="16">
        <v>14.72</v>
      </c>
      <c r="J53" s="16">
        <v>17.75</v>
      </c>
      <c r="K53" s="16">
        <v>18.98</v>
      </c>
      <c r="L53" s="16">
        <v>20.46</v>
      </c>
      <c r="M53" s="16">
        <v>22.24</v>
      </c>
      <c r="N53" s="16">
        <v>24.37</v>
      </c>
      <c r="O53" s="16">
        <v>26.93</v>
      </c>
      <c r="P53" s="16">
        <v>30.0</v>
      </c>
    </row>
    <row r="54">
      <c r="A54" s="7" t="s">
        <v>112</v>
      </c>
      <c r="B54" s="16">
        <v>10.0</v>
      </c>
      <c r="C54" s="16">
        <v>10.29</v>
      </c>
      <c r="D54" s="16">
        <v>10.63</v>
      </c>
      <c r="E54" s="16">
        <v>11.04</v>
      </c>
      <c r="F54" s="16">
        <v>12.54</v>
      </c>
      <c r="G54" s="16">
        <v>13.14</v>
      </c>
      <c r="H54" s="16">
        <v>13.86</v>
      </c>
      <c r="I54" s="16">
        <v>14.72</v>
      </c>
      <c r="J54" s="16">
        <v>17.75</v>
      </c>
      <c r="K54" s="16">
        <v>18.98</v>
      </c>
      <c r="L54" s="16">
        <v>20.46</v>
      </c>
      <c r="M54" s="16">
        <v>22.24</v>
      </c>
      <c r="N54" s="16">
        <v>24.37</v>
      </c>
      <c r="O54" s="16">
        <v>26.93</v>
      </c>
      <c r="P54" s="16">
        <v>30.0</v>
      </c>
    </row>
    <row r="55">
      <c r="A55" s="7" t="s">
        <v>113</v>
      </c>
      <c r="B55" s="18">
        <v>10.0</v>
      </c>
      <c r="C55" s="18">
        <v>10.14</v>
      </c>
      <c r="D55" s="18">
        <v>10.32</v>
      </c>
      <c r="E55" s="18">
        <v>10.52</v>
      </c>
      <c r="F55" s="18">
        <v>11.27</v>
      </c>
      <c r="G55" s="18">
        <v>11.57</v>
      </c>
      <c r="H55" s="18">
        <v>12.93</v>
      </c>
      <c r="I55" s="18">
        <v>13.35</v>
      </c>
      <c r="J55" s="18">
        <v>13.87</v>
      </c>
      <c r="K55" s="18">
        <v>14.49</v>
      </c>
      <c r="L55" s="18">
        <v>15.23</v>
      </c>
      <c r="M55" s="18">
        <v>16.12</v>
      </c>
      <c r="N55" s="18">
        <v>17.18</v>
      </c>
      <c r="O55" s="18">
        <v>18.46</v>
      </c>
      <c r="P55" s="18">
        <v>20.0</v>
      </c>
    </row>
    <row r="56">
      <c r="A56" s="7" t="s">
        <v>116</v>
      </c>
      <c r="B56" s="16">
        <v>10.0</v>
      </c>
      <c r="C56" s="16">
        <v>10.43</v>
      </c>
      <c r="D56" s="16">
        <v>10.95</v>
      </c>
      <c r="E56" s="16">
        <v>13.07</v>
      </c>
      <c r="F56" s="16">
        <v>13.81</v>
      </c>
      <c r="G56" s="16">
        <v>17.7</v>
      </c>
      <c r="H56" s="16">
        <v>18.77</v>
      </c>
      <c r="I56" s="16">
        <v>20.06</v>
      </c>
      <c r="J56" s="16">
        <v>21.61</v>
      </c>
      <c r="K56" s="16">
        <v>23.46</v>
      </c>
      <c r="L56" s="16">
        <v>25.68</v>
      </c>
      <c r="M56" s="16">
        <v>28.35</v>
      </c>
      <c r="N56" s="16">
        <v>31.55</v>
      </c>
      <c r="O56" s="16">
        <v>35.39</v>
      </c>
      <c r="P56" s="16">
        <v>40.0</v>
      </c>
    </row>
    <row r="57">
      <c r="A57" s="7" t="s">
        <v>117</v>
      </c>
      <c r="B57" s="18">
        <v>10.0</v>
      </c>
      <c r="C57" s="18">
        <v>11.07</v>
      </c>
      <c r="D57" s="18">
        <v>12.25</v>
      </c>
      <c r="E57" s="18">
        <v>13.55</v>
      </c>
      <c r="F57" s="18">
        <v>14.97</v>
      </c>
      <c r="G57" s="18">
        <v>16.54</v>
      </c>
      <c r="H57" s="18">
        <v>18.27</v>
      </c>
      <c r="I57" s="18">
        <v>20.17</v>
      </c>
      <c r="J57" s="18">
        <v>22.26</v>
      </c>
      <c r="K57" s="18">
        <v>24.56</v>
      </c>
      <c r="L57" s="18">
        <v>27.09</v>
      </c>
      <c r="M57" s="18">
        <v>29.87</v>
      </c>
      <c r="N57" s="18">
        <v>32.93</v>
      </c>
      <c r="O57" s="18">
        <v>36.29</v>
      </c>
      <c r="P57" s="18">
        <v>40.0</v>
      </c>
    </row>
    <row r="58">
      <c r="A58" s="7" t="s">
        <v>118</v>
      </c>
      <c r="B58" s="16">
        <v>10.0</v>
      </c>
      <c r="C58" s="16">
        <v>10.29</v>
      </c>
      <c r="D58" s="16">
        <v>10.63</v>
      </c>
      <c r="E58" s="16">
        <v>11.04</v>
      </c>
      <c r="F58" s="16">
        <v>12.54</v>
      </c>
      <c r="G58" s="16">
        <v>13.14</v>
      </c>
      <c r="H58" s="16">
        <v>13.86</v>
      </c>
      <c r="I58" s="16">
        <v>14.72</v>
      </c>
      <c r="J58" s="16">
        <v>17.75</v>
      </c>
      <c r="K58" s="16">
        <v>18.98</v>
      </c>
      <c r="L58" s="16">
        <v>20.46</v>
      </c>
      <c r="M58" s="16">
        <v>22.24</v>
      </c>
      <c r="N58" s="16">
        <v>24.37</v>
      </c>
      <c r="O58" s="16">
        <v>26.93</v>
      </c>
      <c r="P58" s="16">
        <v>30.0</v>
      </c>
    </row>
    <row r="59">
      <c r="A59" s="7" t="s">
        <v>121</v>
      </c>
      <c r="B59" s="16">
        <v>10.0</v>
      </c>
      <c r="C59" s="16">
        <v>10.36</v>
      </c>
      <c r="D59" s="16">
        <v>10.75</v>
      </c>
      <c r="E59" s="16">
        <v>11.18</v>
      </c>
      <c r="F59" s="16">
        <v>11.65</v>
      </c>
      <c r="G59" s="16">
        <v>12.17</v>
      </c>
      <c r="H59" s="16">
        <v>12.74</v>
      </c>
      <c r="I59" s="16">
        <v>13.37</v>
      </c>
      <c r="J59" s="16">
        <v>14.07</v>
      </c>
      <c r="K59" s="16">
        <v>14.84</v>
      </c>
      <c r="L59" s="16">
        <v>15.68</v>
      </c>
      <c r="M59" s="16">
        <v>16.61</v>
      </c>
      <c r="N59" s="16">
        <v>17.63</v>
      </c>
      <c r="O59" s="16">
        <v>18.76</v>
      </c>
      <c r="P59" s="16">
        <v>20.0</v>
      </c>
    </row>
    <row r="60">
      <c r="A60" s="7" t="s">
        <v>123</v>
      </c>
      <c r="B60" s="16">
        <v>10.0</v>
      </c>
      <c r="C60" s="16">
        <v>11.07</v>
      </c>
      <c r="D60" s="16">
        <v>12.24</v>
      </c>
      <c r="E60" s="16">
        <v>13.53</v>
      </c>
      <c r="F60" s="16">
        <v>14.95</v>
      </c>
      <c r="G60" s="16">
        <v>16.51</v>
      </c>
      <c r="H60" s="16">
        <v>18.23</v>
      </c>
      <c r="I60" s="16">
        <v>20.12</v>
      </c>
      <c r="J60" s="16">
        <v>22.21</v>
      </c>
      <c r="K60" s="16">
        <v>24.51</v>
      </c>
      <c r="L60" s="16">
        <v>27.04</v>
      </c>
      <c r="M60" s="16">
        <v>29.83</v>
      </c>
      <c r="N60" s="16">
        <v>32.9</v>
      </c>
      <c r="O60" s="16">
        <v>36.28</v>
      </c>
      <c r="P60" s="16">
        <v>40.0</v>
      </c>
    </row>
    <row r="61">
      <c r="A61" s="7" t="s">
        <v>47</v>
      </c>
      <c r="B61" s="16">
        <v>10.0</v>
      </c>
      <c r="C61" s="16">
        <v>11.42</v>
      </c>
      <c r="D61" s="16">
        <v>12.99</v>
      </c>
      <c r="E61" s="16">
        <v>14.71</v>
      </c>
      <c r="F61" s="16">
        <v>16.6</v>
      </c>
      <c r="G61" s="16">
        <v>18.68</v>
      </c>
      <c r="H61" s="16">
        <v>20.97</v>
      </c>
      <c r="I61" s="16">
        <v>23.49</v>
      </c>
      <c r="J61" s="16">
        <v>26.27</v>
      </c>
      <c r="K61" s="16">
        <v>29.34</v>
      </c>
      <c r="L61" s="16">
        <v>32.72</v>
      </c>
      <c r="M61" s="16">
        <v>36.44</v>
      </c>
      <c r="N61" s="16">
        <v>40.53</v>
      </c>
      <c r="O61" s="16">
        <v>45.03</v>
      </c>
      <c r="P61" s="16">
        <v>49.99</v>
      </c>
    </row>
    <row r="62">
      <c r="A62" s="7" t="s">
        <v>126</v>
      </c>
      <c r="B62" s="16">
        <v>10.0</v>
      </c>
      <c r="C62" s="16">
        <v>10.71</v>
      </c>
      <c r="D62" s="16">
        <v>11.49</v>
      </c>
      <c r="E62" s="16">
        <v>12.35</v>
      </c>
      <c r="F62" s="16">
        <v>13.3</v>
      </c>
      <c r="G62" s="16">
        <v>14.34</v>
      </c>
      <c r="H62" s="16">
        <v>15.49</v>
      </c>
      <c r="I62" s="16">
        <v>16.75</v>
      </c>
      <c r="J62" s="16">
        <v>18.14</v>
      </c>
      <c r="K62" s="16">
        <v>19.67</v>
      </c>
      <c r="L62" s="16">
        <v>21.36</v>
      </c>
      <c r="M62" s="16">
        <v>23.22</v>
      </c>
      <c r="N62" s="16">
        <v>25.27</v>
      </c>
      <c r="O62" s="16">
        <v>27.52</v>
      </c>
      <c r="P62" s="16">
        <v>30.0</v>
      </c>
    </row>
    <row r="63">
      <c r="A63" s="7" t="s">
        <v>128</v>
      </c>
      <c r="B63" s="16">
        <v>10.0</v>
      </c>
      <c r="C63" s="16">
        <v>10.36</v>
      </c>
      <c r="D63" s="16">
        <v>10.75</v>
      </c>
      <c r="E63" s="16">
        <v>11.18</v>
      </c>
      <c r="F63" s="16">
        <v>11.65</v>
      </c>
      <c r="G63" s="16">
        <v>12.17</v>
      </c>
      <c r="H63" s="16">
        <v>12.74</v>
      </c>
      <c r="I63" s="16">
        <v>13.37</v>
      </c>
      <c r="J63" s="16">
        <v>14.07</v>
      </c>
      <c r="K63" s="16">
        <v>14.84</v>
      </c>
      <c r="L63" s="16">
        <v>15.68</v>
      </c>
      <c r="M63" s="16">
        <v>16.61</v>
      </c>
      <c r="N63" s="16">
        <v>17.63</v>
      </c>
      <c r="O63" s="16">
        <v>18.76</v>
      </c>
      <c r="P63" s="16">
        <v>20.0</v>
      </c>
    </row>
    <row r="64">
      <c r="A64" s="7" t="s">
        <v>130</v>
      </c>
      <c r="B64" s="18">
        <v>10.0</v>
      </c>
      <c r="C64" s="18">
        <v>11.07</v>
      </c>
      <c r="D64" s="18">
        <v>12.24</v>
      </c>
      <c r="E64" s="18">
        <v>13.53</v>
      </c>
      <c r="F64" s="18">
        <v>14.95</v>
      </c>
      <c r="G64" s="18">
        <v>16.51</v>
      </c>
      <c r="H64" s="18">
        <v>18.23</v>
      </c>
      <c r="I64" s="18">
        <v>20.12</v>
      </c>
      <c r="J64" s="18">
        <v>22.21</v>
      </c>
      <c r="K64" s="18">
        <v>24.51</v>
      </c>
      <c r="L64" s="18">
        <v>27.04</v>
      </c>
      <c r="M64" s="18">
        <v>29.83</v>
      </c>
      <c r="N64" s="18">
        <v>32.9</v>
      </c>
      <c r="O64" s="18">
        <v>36.28</v>
      </c>
      <c r="P64" s="18">
        <v>40.0</v>
      </c>
    </row>
    <row r="65">
      <c r="A65" s="7" t="s">
        <v>131</v>
      </c>
      <c r="B65" s="16">
        <v>10.0</v>
      </c>
      <c r="C65" s="16">
        <v>10.71</v>
      </c>
      <c r="D65" s="16">
        <v>11.49</v>
      </c>
      <c r="E65" s="16">
        <v>12.35</v>
      </c>
      <c r="F65" s="16">
        <v>13.29</v>
      </c>
      <c r="G65" s="16">
        <v>14.33</v>
      </c>
      <c r="H65" s="16">
        <v>15.48</v>
      </c>
      <c r="I65" s="16">
        <v>16.74</v>
      </c>
      <c r="J65" s="16">
        <v>18.13</v>
      </c>
      <c r="K65" s="16">
        <v>19.66</v>
      </c>
      <c r="L65" s="16">
        <v>21.35</v>
      </c>
      <c r="M65" s="16">
        <v>23.21</v>
      </c>
      <c r="N65" s="16">
        <v>25.26</v>
      </c>
      <c r="O65" s="16">
        <v>27.51</v>
      </c>
      <c r="P65" s="16">
        <v>29.99</v>
      </c>
    </row>
    <row r="66">
      <c r="A66" s="7" t="s">
        <v>132</v>
      </c>
      <c r="B66" s="16">
        <v>10.0</v>
      </c>
      <c r="C66" s="16">
        <v>10.44</v>
      </c>
      <c r="D66" s="16">
        <v>10.95</v>
      </c>
      <c r="E66" s="16">
        <v>13.54</v>
      </c>
      <c r="F66" s="16">
        <v>14.22</v>
      </c>
      <c r="G66" s="16">
        <v>15.0</v>
      </c>
      <c r="H66" s="16">
        <v>15.89</v>
      </c>
      <c r="I66" s="16">
        <v>16.92</v>
      </c>
      <c r="J66" s="16">
        <v>18.1</v>
      </c>
      <c r="K66" s="16">
        <v>19.46</v>
      </c>
      <c r="L66" s="16">
        <v>21.02</v>
      </c>
      <c r="M66" s="16">
        <v>22.82</v>
      </c>
      <c r="N66" s="16">
        <v>24.89</v>
      </c>
      <c r="O66" s="16">
        <v>27.27</v>
      </c>
      <c r="P66" s="16">
        <v>30.0</v>
      </c>
    </row>
    <row r="67">
      <c r="A67" s="7" t="s">
        <v>134</v>
      </c>
      <c r="B67" s="18">
        <v>10.0</v>
      </c>
      <c r="C67" s="18">
        <v>11.07</v>
      </c>
      <c r="D67" s="18">
        <v>12.25</v>
      </c>
      <c r="E67" s="18">
        <v>13.55</v>
      </c>
      <c r="F67" s="18">
        <v>14.97</v>
      </c>
      <c r="G67" s="18">
        <v>16.54</v>
      </c>
      <c r="H67" s="18">
        <v>18.27</v>
      </c>
      <c r="I67" s="18">
        <v>20.17</v>
      </c>
      <c r="J67" s="18">
        <v>22.26</v>
      </c>
      <c r="K67" s="18">
        <v>24.56</v>
      </c>
      <c r="L67" s="18">
        <v>27.09</v>
      </c>
      <c r="M67" s="18">
        <v>29.87</v>
      </c>
      <c r="N67" s="18">
        <v>32.93</v>
      </c>
      <c r="O67" s="18">
        <v>36.29</v>
      </c>
      <c r="P67" s="18">
        <v>40.0</v>
      </c>
    </row>
    <row r="68">
      <c r="A68" s="7" t="s">
        <v>135</v>
      </c>
      <c r="B68" s="18">
        <v>10.0</v>
      </c>
      <c r="C68" s="18">
        <v>10.43</v>
      </c>
      <c r="D68" s="18">
        <v>10.95</v>
      </c>
      <c r="E68" s="18">
        <v>11.57</v>
      </c>
      <c r="F68" s="18">
        <v>14.56</v>
      </c>
      <c r="G68" s="18">
        <v>15.45</v>
      </c>
      <c r="H68" s="18">
        <v>18.77</v>
      </c>
      <c r="I68" s="18">
        <v>20.06</v>
      </c>
      <c r="J68" s="18">
        <v>21.61</v>
      </c>
      <c r="K68" s="18">
        <v>23.46</v>
      </c>
      <c r="L68" s="18">
        <v>25.68</v>
      </c>
      <c r="M68" s="18">
        <v>28.35</v>
      </c>
      <c r="N68" s="18">
        <v>31.55</v>
      </c>
      <c r="O68" s="18">
        <v>35.39</v>
      </c>
      <c r="P68" s="18">
        <v>40.0</v>
      </c>
    </row>
    <row r="69">
      <c r="A69" s="7" t="s">
        <v>137</v>
      </c>
      <c r="B69" s="16">
        <v>10.0</v>
      </c>
      <c r="C69" s="16">
        <v>10.0</v>
      </c>
      <c r="D69" s="16">
        <v>10.0</v>
      </c>
      <c r="E69" s="16">
        <v>10.0</v>
      </c>
      <c r="F69" s="16">
        <v>10.0</v>
      </c>
      <c r="G69" s="16">
        <v>10.0</v>
      </c>
      <c r="H69" s="16">
        <v>10.0</v>
      </c>
      <c r="I69" s="16">
        <v>10.0</v>
      </c>
      <c r="J69" s="16">
        <v>10.0</v>
      </c>
      <c r="K69" s="16">
        <v>10.0</v>
      </c>
      <c r="L69" s="16">
        <v>10.0</v>
      </c>
      <c r="M69" s="16">
        <v>10.0</v>
      </c>
      <c r="N69" s="16">
        <v>10.0</v>
      </c>
      <c r="O69" s="16">
        <v>10.0</v>
      </c>
      <c r="P69" s="16">
        <v>10.0</v>
      </c>
    </row>
    <row r="70">
      <c r="A70" s="7" t="s">
        <v>138</v>
      </c>
      <c r="B70" s="16">
        <v>10.0</v>
      </c>
      <c r="C70" s="16">
        <v>10.36</v>
      </c>
      <c r="D70" s="16">
        <v>10.75</v>
      </c>
      <c r="E70" s="16">
        <v>11.18</v>
      </c>
      <c r="F70" s="16">
        <v>11.65</v>
      </c>
      <c r="G70" s="16">
        <v>12.17</v>
      </c>
      <c r="H70" s="16">
        <v>12.74</v>
      </c>
      <c r="I70" s="16">
        <v>13.37</v>
      </c>
      <c r="J70" s="16">
        <v>14.07</v>
      </c>
      <c r="K70" s="16">
        <v>14.84</v>
      </c>
      <c r="L70" s="16">
        <v>15.68</v>
      </c>
      <c r="M70" s="16">
        <v>16.61</v>
      </c>
      <c r="N70" s="16">
        <v>17.63</v>
      </c>
      <c r="O70" s="16">
        <v>18.76</v>
      </c>
      <c r="P70" s="16">
        <v>20.0</v>
      </c>
    </row>
    <row r="71">
      <c r="A71" s="7" t="s">
        <v>139</v>
      </c>
      <c r="B71" s="18">
        <v>10.0</v>
      </c>
      <c r="C71" s="18">
        <v>10.29</v>
      </c>
      <c r="D71" s="18">
        <v>10.63</v>
      </c>
      <c r="E71" s="18">
        <v>11.05</v>
      </c>
      <c r="F71" s="18">
        <v>12.54</v>
      </c>
      <c r="G71" s="18">
        <v>13.14</v>
      </c>
      <c r="H71" s="18">
        <v>15.85</v>
      </c>
      <c r="I71" s="18">
        <v>16.71</v>
      </c>
      <c r="J71" s="18">
        <v>17.74</v>
      </c>
      <c r="K71" s="18">
        <v>18.97</v>
      </c>
      <c r="L71" s="18">
        <v>20.45</v>
      </c>
      <c r="M71" s="18">
        <v>22.23</v>
      </c>
      <c r="N71" s="18">
        <v>24.37</v>
      </c>
      <c r="O71" s="18">
        <v>26.93</v>
      </c>
      <c r="P71" s="18">
        <v>30.0</v>
      </c>
    </row>
    <row r="72">
      <c r="A72" s="7" t="s">
        <v>140</v>
      </c>
      <c r="B72" s="16">
        <v>10.0</v>
      </c>
      <c r="C72" s="16">
        <v>11.42</v>
      </c>
      <c r="D72" s="16">
        <v>12.99</v>
      </c>
      <c r="E72" s="16">
        <v>14.71</v>
      </c>
      <c r="F72" s="16">
        <v>16.6</v>
      </c>
      <c r="G72" s="16">
        <v>18.68</v>
      </c>
      <c r="H72" s="16">
        <v>20.97</v>
      </c>
      <c r="I72" s="16">
        <v>23.49</v>
      </c>
      <c r="J72" s="16">
        <v>26.27</v>
      </c>
      <c r="K72" s="16">
        <v>29.34</v>
      </c>
      <c r="L72" s="16">
        <v>32.72</v>
      </c>
      <c r="M72" s="16">
        <v>36.44</v>
      </c>
      <c r="N72" s="16">
        <v>40.53</v>
      </c>
      <c r="O72" s="16">
        <v>45.04</v>
      </c>
      <c r="P72" s="16">
        <v>50.0</v>
      </c>
    </row>
    <row r="73">
      <c r="A73" s="7" t="s">
        <v>142</v>
      </c>
      <c r="B73" s="16">
        <v>10.0</v>
      </c>
      <c r="C73" s="16">
        <v>10.43</v>
      </c>
      <c r="D73" s="16">
        <v>10.95</v>
      </c>
      <c r="E73" s="16">
        <v>11.57</v>
      </c>
      <c r="F73" s="16">
        <v>16.82</v>
      </c>
      <c r="G73" s="16">
        <v>17.71</v>
      </c>
      <c r="H73" s="16">
        <v>18.78</v>
      </c>
      <c r="I73" s="16">
        <v>20.07</v>
      </c>
      <c r="J73" s="16">
        <v>21.62</v>
      </c>
      <c r="K73" s="16">
        <v>23.47</v>
      </c>
      <c r="L73" s="16">
        <v>25.69</v>
      </c>
      <c r="M73" s="16">
        <v>28.36</v>
      </c>
      <c r="N73" s="16">
        <v>31.56</v>
      </c>
      <c r="O73" s="16">
        <v>35.4</v>
      </c>
      <c r="P73" s="16">
        <v>40.01</v>
      </c>
    </row>
    <row r="74">
      <c r="A74" s="7" t="s">
        <v>143</v>
      </c>
      <c r="B74" s="18">
        <v>10.0</v>
      </c>
      <c r="C74" s="18">
        <v>10.72</v>
      </c>
      <c r="D74" s="18">
        <v>11.5</v>
      </c>
      <c r="E74" s="18">
        <v>12.37</v>
      </c>
      <c r="F74" s="18">
        <v>13.32</v>
      </c>
      <c r="G74" s="18">
        <v>14.36</v>
      </c>
      <c r="H74" s="18">
        <v>15.51</v>
      </c>
      <c r="I74" s="18">
        <v>16.78</v>
      </c>
      <c r="J74" s="18">
        <v>18.17</v>
      </c>
      <c r="K74" s="18">
        <v>19.71</v>
      </c>
      <c r="L74" s="18">
        <v>21.39</v>
      </c>
      <c r="M74" s="18">
        <v>23.24</v>
      </c>
      <c r="N74" s="18">
        <v>25.29</v>
      </c>
      <c r="O74" s="18">
        <v>27.53</v>
      </c>
      <c r="P74" s="18">
        <v>30.0</v>
      </c>
    </row>
    <row r="75">
      <c r="A75" s="7" t="s">
        <v>144</v>
      </c>
      <c r="B75" s="16">
        <v>10.0</v>
      </c>
      <c r="C75" s="16">
        <v>10.36</v>
      </c>
      <c r="D75" s="16">
        <v>10.75</v>
      </c>
      <c r="E75" s="16">
        <v>11.18</v>
      </c>
      <c r="F75" s="16">
        <v>11.65</v>
      </c>
      <c r="G75" s="16">
        <v>12.17</v>
      </c>
      <c r="H75" s="16">
        <v>12.74</v>
      </c>
      <c r="I75" s="16">
        <v>13.37</v>
      </c>
      <c r="J75" s="16">
        <v>14.07</v>
      </c>
      <c r="K75" s="16">
        <v>14.84</v>
      </c>
      <c r="L75" s="16">
        <v>15.68</v>
      </c>
      <c r="M75" s="16">
        <v>16.61</v>
      </c>
      <c r="N75" s="16">
        <v>17.63</v>
      </c>
      <c r="O75" s="16">
        <v>18.76</v>
      </c>
      <c r="P75" s="16">
        <v>20.0</v>
      </c>
    </row>
    <row r="76">
      <c r="A76" s="7" t="s">
        <v>145</v>
      </c>
      <c r="B76" s="16">
        <v>10.0</v>
      </c>
      <c r="C76" s="16">
        <v>10.44</v>
      </c>
      <c r="D76" s="16">
        <v>10.95</v>
      </c>
      <c r="E76" s="16">
        <v>11.54</v>
      </c>
      <c r="F76" s="16">
        <v>14.22</v>
      </c>
      <c r="G76" s="16">
        <v>15.0</v>
      </c>
      <c r="H76" s="16">
        <v>15.89</v>
      </c>
      <c r="I76" s="16">
        <v>16.92</v>
      </c>
      <c r="J76" s="16">
        <v>18.1</v>
      </c>
      <c r="K76" s="16">
        <v>19.46</v>
      </c>
      <c r="L76" s="16">
        <v>21.02</v>
      </c>
      <c r="M76" s="16">
        <v>22.82</v>
      </c>
      <c r="N76" s="16">
        <v>24.89</v>
      </c>
      <c r="O76" s="16">
        <v>27.27</v>
      </c>
      <c r="P76" s="16">
        <v>30.0</v>
      </c>
    </row>
    <row r="77">
      <c r="A77" s="7" t="s">
        <v>146</v>
      </c>
      <c r="B77" s="16">
        <v>10.0</v>
      </c>
      <c r="C77" s="16">
        <v>10.44</v>
      </c>
      <c r="D77" s="16">
        <v>10.95</v>
      </c>
      <c r="E77" s="16">
        <v>11.54</v>
      </c>
      <c r="F77" s="16">
        <v>14.22</v>
      </c>
      <c r="G77" s="16">
        <v>15.0</v>
      </c>
      <c r="H77" s="16">
        <v>15.89</v>
      </c>
      <c r="I77" s="16">
        <v>16.92</v>
      </c>
      <c r="J77" s="16">
        <v>18.1</v>
      </c>
      <c r="K77" s="16">
        <v>19.46</v>
      </c>
      <c r="L77" s="16">
        <v>21.02</v>
      </c>
      <c r="M77" s="16">
        <v>22.82</v>
      </c>
      <c r="N77" s="16">
        <v>24.89</v>
      </c>
      <c r="O77" s="16">
        <v>27.27</v>
      </c>
      <c r="P77" s="16">
        <v>30.0</v>
      </c>
    </row>
    <row r="78">
      <c r="A78" s="7" t="s">
        <v>147</v>
      </c>
      <c r="B78" s="18">
        <v>10.0</v>
      </c>
      <c r="C78" s="18">
        <v>11.07</v>
      </c>
      <c r="D78" s="18">
        <v>12.24</v>
      </c>
      <c r="E78" s="18">
        <v>13.53</v>
      </c>
      <c r="F78" s="18">
        <v>14.95</v>
      </c>
      <c r="G78" s="18">
        <v>16.51</v>
      </c>
      <c r="H78" s="18">
        <v>18.23</v>
      </c>
      <c r="I78" s="18">
        <v>20.12</v>
      </c>
      <c r="J78" s="18">
        <v>22.21</v>
      </c>
      <c r="K78" s="18">
        <v>24.51</v>
      </c>
      <c r="L78" s="18">
        <v>27.04</v>
      </c>
      <c r="M78" s="18">
        <v>29.83</v>
      </c>
      <c r="N78" s="18">
        <v>32.9</v>
      </c>
      <c r="O78" s="18">
        <v>36.28</v>
      </c>
      <c r="P78" s="18">
        <v>40.0</v>
      </c>
    </row>
    <row r="79">
      <c r="A79" s="7" t="s">
        <v>148</v>
      </c>
      <c r="B79" s="18">
        <v>10.0</v>
      </c>
      <c r="C79" s="18">
        <v>10.14</v>
      </c>
      <c r="D79" s="18">
        <v>10.32</v>
      </c>
      <c r="E79" s="18">
        <v>10.52</v>
      </c>
      <c r="F79" s="18">
        <v>11.27</v>
      </c>
      <c r="G79" s="18">
        <v>11.57</v>
      </c>
      <c r="H79" s="18">
        <v>12.93</v>
      </c>
      <c r="I79" s="18">
        <v>13.35</v>
      </c>
      <c r="J79" s="18">
        <v>13.87</v>
      </c>
      <c r="K79" s="18">
        <v>14.49</v>
      </c>
      <c r="L79" s="18">
        <v>15.23</v>
      </c>
      <c r="M79" s="18">
        <v>16.12</v>
      </c>
      <c r="N79" s="18">
        <v>17.18</v>
      </c>
      <c r="O79" s="18">
        <v>18.46</v>
      </c>
      <c r="P79" s="18">
        <v>20.0</v>
      </c>
    </row>
    <row r="80">
      <c r="A80" s="7" t="s">
        <v>149</v>
      </c>
      <c r="B80" s="16">
        <v>10.0</v>
      </c>
      <c r="C80" s="16">
        <v>10.44</v>
      </c>
      <c r="D80" s="16">
        <v>10.95</v>
      </c>
      <c r="E80" s="16">
        <v>13.54</v>
      </c>
      <c r="F80" s="16">
        <v>14.22</v>
      </c>
      <c r="G80" s="16">
        <v>15.0</v>
      </c>
      <c r="H80" s="16">
        <v>15.89</v>
      </c>
      <c r="I80" s="16">
        <v>16.92</v>
      </c>
      <c r="J80" s="16">
        <v>18.1</v>
      </c>
      <c r="K80" s="16">
        <v>19.46</v>
      </c>
      <c r="L80" s="16">
        <v>21.02</v>
      </c>
      <c r="M80" s="16">
        <v>22.82</v>
      </c>
      <c r="N80" s="16">
        <v>24.89</v>
      </c>
      <c r="O80" s="16">
        <v>27.27</v>
      </c>
      <c r="P80" s="16">
        <v>30.0</v>
      </c>
    </row>
    <row r="81">
      <c r="A81" s="7" t="s">
        <v>150</v>
      </c>
      <c r="B81" s="16">
        <v>10.0</v>
      </c>
      <c r="C81" s="16">
        <v>11.07</v>
      </c>
      <c r="D81" s="16">
        <v>12.24</v>
      </c>
      <c r="E81" s="16">
        <v>13.53</v>
      </c>
      <c r="F81" s="16">
        <v>14.95</v>
      </c>
      <c r="G81" s="16">
        <v>16.51</v>
      </c>
      <c r="H81" s="16">
        <v>18.23</v>
      </c>
      <c r="I81" s="16">
        <v>20.12</v>
      </c>
      <c r="J81" s="16">
        <v>22.21</v>
      </c>
      <c r="K81" s="16">
        <v>24.51</v>
      </c>
      <c r="L81" s="16">
        <v>27.04</v>
      </c>
      <c r="M81" s="16">
        <v>29.83</v>
      </c>
      <c r="N81" s="16">
        <v>32.9</v>
      </c>
      <c r="O81" s="16">
        <v>36.28</v>
      </c>
      <c r="P81" s="16">
        <v>40.0</v>
      </c>
    </row>
    <row r="82">
      <c r="A82" s="7" t="s">
        <v>151</v>
      </c>
      <c r="B82" s="16">
        <v>10.0</v>
      </c>
      <c r="C82" s="16">
        <v>10.71</v>
      </c>
      <c r="D82" s="16">
        <v>11.49</v>
      </c>
      <c r="E82" s="16">
        <v>12.35</v>
      </c>
      <c r="F82" s="16">
        <v>13.3</v>
      </c>
      <c r="G82" s="16">
        <v>14.34</v>
      </c>
      <c r="H82" s="16">
        <v>15.49</v>
      </c>
      <c r="I82" s="16">
        <v>16.75</v>
      </c>
      <c r="J82" s="16">
        <v>18.14</v>
      </c>
      <c r="K82" s="16">
        <v>19.67</v>
      </c>
      <c r="L82" s="16">
        <v>21.36</v>
      </c>
      <c r="M82" s="16">
        <v>23.22</v>
      </c>
      <c r="N82" s="16">
        <v>25.27</v>
      </c>
      <c r="O82" s="16">
        <v>27.52</v>
      </c>
      <c r="P82" s="16">
        <v>30.0</v>
      </c>
    </row>
    <row r="83">
      <c r="A83" s="7" t="s">
        <v>152</v>
      </c>
      <c r="B83" s="16">
        <v>10.0</v>
      </c>
      <c r="C83" s="16">
        <v>10.67</v>
      </c>
      <c r="D83" s="16">
        <v>11.43</v>
      </c>
      <c r="E83" s="16">
        <v>15.31</v>
      </c>
      <c r="F83" s="16">
        <v>16.32</v>
      </c>
      <c r="G83" s="16">
        <v>17.48</v>
      </c>
      <c r="H83" s="16">
        <v>18.82</v>
      </c>
      <c r="I83" s="16">
        <v>20.36</v>
      </c>
      <c r="J83" s="16">
        <v>22.13</v>
      </c>
      <c r="K83" s="16">
        <v>24.17</v>
      </c>
      <c r="L83" s="16">
        <v>26.52</v>
      </c>
      <c r="M83" s="16">
        <v>29.22</v>
      </c>
      <c r="N83" s="16">
        <v>32.32</v>
      </c>
      <c r="O83" s="16">
        <v>35.89</v>
      </c>
      <c r="P83" s="16">
        <v>39.99</v>
      </c>
    </row>
    <row r="84">
      <c r="A84" s="7" t="s">
        <v>153</v>
      </c>
      <c r="B84" s="16">
        <v>10.0</v>
      </c>
      <c r="C84" s="16">
        <v>10.43</v>
      </c>
      <c r="D84" s="16">
        <v>10.94</v>
      </c>
      <c r="E84" s="16">
        <v>11.56</v>
      </c>
      <c r="F84" s="16">
        <v>13.8</v>
      </c>
      <c r="G84" s="16">
        <v>14.69</v>
      </c>
      <c r="H84" s="16">
        <v>18.76</v>
      </c>
      <c r="I84" s="16">
        <v>20.05</v>
      </c>
      <c r="J84" s="16">
        <v>21.59</v>
      </c>
      <c r="K84" s="16">
        <v>23.44</v>
      </c>
      <c r="L84" s="16">
        <v>25.66</v>
      </c>
      <c r="M84" s="16">
        <v>28.33</v>
      </c>
      <c r="N84" s="16">
        <v>31.53</v>
      </c>
      <c r="O84" s="16">
        <v>35.37</v>
      </c>
      <c r="P84" s="16">
        <v>39.98</v>
      </c>
    </row>
    <row r="85">
      <c r="A85" s="7" t="s">
        <v>154</v>
      </c>
      <c r="B85" s="16">
        <v>10.0</v>
      </c>
      <c r="C85" s="16">
        <v>10.29</v>
      </c>
      <c r="D85" s="16">
        <v>10.63</v>
      </c>
      <c r="E85" s="16">
        <v>11.04</v>
      </c>
      <c r="F85" s="16">
        <v>12.54</v>
      </c>
      <c r="G85" s="16">
        <v>13.14</v>
      </c>
      <c r="H85" s="16">
        <v>15.86</v>
      </c>
      <c r="I85" s="16">
        <v>16.72</v>
      </c>
      <c r="J85" s="16">
        <v>17.75</v>
      </c>
      <c r="K85" s="16">
        <v>18.98</v>
      </c>
      <c r="L85" s="16">
        <v>20.46</v>
      </c>
      <c r="M85" s="16">
        <v>22.24</v>
      </c>
      <c r="N85" s="16">
        <v>24.37</v>
      </c>
      <c r="O85" s="16">
        <v>26.93</v>
      </c>
      <c r="P85" s="16">
        <v>30.0</v>
      </c>
    </row>
    <row r="86">
      <c r="A86" s="7" t="s">
        <v>155</v>
      </c>
      <c r="B86" s="16">
        <v>10.0</v>
      </c>
      <c r="C86" s="16">
        <v>10.44</v>
      </c>
      <c r="D86" s="16">
        <v>10.95</v>
      </c>
      <c r="E86" s="16">
        <v>11.54</v>
      </c>
      <c r="F86" s="16">
        <v>14.22</v>
      </c>
      <c r="G86" s="16">
        <v>15.0</v>
      </c>
      <c r="H86" s="16">
        <v>15.89</v>
      </c>
      <c r="I86" s="16">
        <v>16.92</v>
      </c>
      <c r="J86" s="16">
        <v>18.1</v>
      </c>
      <c r="K86" s="16">
        <v>19.46</v>
      </c>
      <c r="L86" s="16">
        <v>21.02</v>
      </c>
      <c r="M86" s="16">
        <v>22.82</v>
      </c>
      <c r="N86" s="16">
        <v>24.89</v>
      </c>
      <c r="O86" s="16">
        <v>27.27</v>
      </c>
      <c r="P86" s="16">
        <v>30.0</v>
      </c>
    </row>
    <row r="87">
      <c r="A87" s="7" t="s">
        <v>156</v>
      </c>
      <c r="B87" s="18">
        <v>10.0</v>
      </c>
      <c r="C87" s="18">
        <v>10.57</v>
      </c>
      <c r="D87" s="18">
        <v>11.26</v>
      </c>
      <c r="E87" s="18">
        <v>14.08</v>
      </c>
      <c r="F87" s="18">
        <v>15.07</v>
      </c>
      <c r="G87" s="18">
        <v>20.26</v>
      </c>
      <c r="H87" s="18">
        <v>21.69</v>
      </c>
      <c r="I87" s="18">
        <v>23.41</v>
      </c>
      <c r="J87" s="18">
        <v>25.47</v>
      </c>
      <c r="K87" s="18">
        <v>27.94</v>
      </c>
      <c r="L87" s="18">
        <v>30.91</v>
      </c>
      <c r="M87" s="18">
        <v>34.47</v>
      </c>
      <c r="N87" s="18">
        <v>38.74</v>
      </c>
      <c r="O87" s="18">
        <v>43.86</v>
      </c>
      <c r="P87" s="18">
        <v>50.01</v>
      </c>
    </row>
    <row r="88">
      <c r="A88" s="7" t="s">
        <v>159</v>
      </c>
      <c r="B88" s="18">
        <v>10.0</v>
      </c>
      <c r="C88" s="18">
        <v>10.29</v>
      </c>
      <c r="D88" s="18">
        <v>10.63</v>
      </c>
      <c r="E88" s="18">
        <v>11.04</v>
      </c>
      <c r="F88" s="18">
        <v>13.04</v>
      </c>
      <c r="G88" s="18">
        <v>13.64</v>
      </c>
      <c r="H88" s="18">
        <v>15.86</v>
      </c>
      <c r="I88" s="18">
        <v>16.72</v>
      </c>
      <c r="J88" s="18">
        <v>17.75</v>
      </c>
      <c r="K88" s="18">
        <v>18.98</v>
      </c>
      <c r="L88" s="18">
        <v>20.46</v>
      </c>
      <c r="M88" s="18">
        <v>22.24</v>
      </c>
      <c r="N88" s="18">
        <v>24.37</v>
      </c>
      <c r="O88" s="18">
        <v>26.93</v>
      </c>
      <c r="P88" s="18">
        <v>30.0</v>
      </c>
    </row>
    <row r="89">
      <c r="A89" s="7" t="s">
        <v>160</v>
      </c>
      <c r="B89" s="16">
        <v>10.0</v>
      </c>
      <c r="C89" s="16">
        <v>10.29</v>
      </c>
      <c r="D89" s="16">
        <v>10.63</v>
      </c>
      <c r="E89" s="16">
        <v>11.04</v>
      </c>
      <c r="F89" s="16">
        <v>12.54</v>
      </c>
      <c r="G89" s="16">
        <v>13.14</v>
      </c>
      <c r="H89" s="16">
        <v>13.86</v>
      </c>
      <c r="I89" s="16">
        <v>14.72</v>
      </c>
      <c r="J89" s="16">
        <v>17.75</v>
      </c>
      <c r="K89" s="16">
        <v>18.98</v>
      </c>
      <c r="L89" s="16">
        <v>20.46</v>
      </c>
      <c r="M89" s="16">
        <v>22.24</v>
      </c>
      <c r="N89" s="16">
        <v>24.37</v>
      </c>
      <c r="O89" s="16">
        <v>26.93</v>
      </c>
      <c r="P89" s="16">
        <v>30.0</v>
      </c>
    </row>
    <row r="90">
      <c r="A90" s="7" t="s">
        <v>161</v>
      </c>
      <c r="B90" s="16">
        <v>10.0</v>
      </c>
      <c r="C90" s="16">
        <v>10.44</v>
      </c>
      <c r="D90" s="16">
        <v>10.95</v>
      </c>
      <c r="E90" s="16">
        <v>13.54</v>
      </c>
      <c r="F90" s="16">
        <v>14.22</v>
      </c>
      <c r="G90" s="16">
        <v>15.0</v>
      </c>
      <c r="H90" s="16">
        <v>15.89</v>
      </c>
      <c r="I90" s="16">
        <v>16.92</v>
      </c>
      <c r="J90" s="16">
        <v>18.1</v>
      </c>
      <c r="K90" s="16">
        <v>19.46</v>
      </c>
      <c r="L90" s="16">
        <v>21.02</v>
      </c>
      <c r="M90" s="16">
        <v>22.82</v>
      </c>
      <c r="N90" s="16">
        <v>24.89</v>
      </c>
      <c r="O90" s="16">
        <v>27.27</v>
      </c>
      <c r="P90" s="16">
        <v>30.0</v>
      </c>
    </row>
    <row r="91">
      <c r="A91" s="7" t="s">
        <v>162</v>
      </c>
      <c r="B91" s="16">
        <v>10.0</v>
      </c>
      <c r="C91" s="16">
        <v>10.44</v>
      </c>
      <c r="D91" s="16">
        <v>10.95</v>
      </c>
      <c r="E91" s="16">
        <v>11.54</v>
      </c>
      <c r="F91" s="16">
        <v>14.22</v>
      </c>
      <c r="G91" s="16">
        <v>15.0</v>
      </c>
      <c r="H91" s="16">
        <v>15.89</v>
      </c>
      <c r="I91" s="16">
        <v>16.92</v>
      </c>
      <c r="J91" s="16">
        <v>18.1</v>
      </c>
      <c r="K91" s="16">
        <v>19.46</v>
      </c>
      <c r="L91" s="16">
        <v>21.02</v>
      </c>
      <c r="M91" s="16">
        <v>22.82</v>
      </c>
      <c r="N91" s="16">
        <v>24.89</v>
      </c>
      <c r="O91" s="16">
        <v>27.27</v>
      </c>
      <c r="P91" s="16">
        <v>30.0</v>
      </c>
    </row>
    <row r="92">
      <c r="A92" s="7" t="s">
        <v>163</v>
      </c>
      <c r="B92" s="18">
        <v>10.0</v>
      </c>
      <c r="C92" s="18">
        <v>10.44</v>
      </c>
      <c r="D92" s="18">
        <v>10.95</v>
      </c>
      <c r="E92" s="18">
        <v>13.54</v>
      </c>
      <c r="F92" s="18">
        <v>14.22</v>
      </c>
      <c r="G92" s="18">
        <v>14.99</v>
      </c>
      <c r="H92" s="18">
        <v>15.89</v>
      </c>
      <c r="I92" s="18">
        <v>16.92</v>
      </c>
      <c r="J92" s="18">
        <v>18.1</v>
      </c>
      <c r="K92" s="18">
        <v>19.46</v>
      </c>
      <c r="L92" s="18">
        <v>21.02</v>
      </c>
      <c r="M92" s="18">
        <v>22.82</v>
      </c>
      <c r="N92" s="18">
        <v>24.89</v>
      </c>
      <c r="O92" s="18">
        <v>27.26</v>
      </c>
      <c r="P92" s="18">
        <v>30.0</v>
      </c>
    </row>
    <row r="93">
      <c r="A93" s="7" t="s">
        <v>164</v>
      </c>
      <c r="B93" s="16">
        <v>10.0</v>
      </c>
      <c r="C93" s="16">
        <v>10.14</v>
      </c>
      <c r="D93" s="16">
        <v>10.31</v>
      </c>
      <c r="E93" s="16">
        <v>10.52</v>
      </c>
      <c r="F93" s="16">
        <v>11.27</v>
      </c>
      <c r="G93" s="16">
        <v>11.57</v>
      </c>
      <c r="H93" s="16">
        <v>12.93</v>
      </c>
      <c r="I93" s="16">
        <v>13.36</v>
      </c>
      <c r="J93" s="16">
        <v>13.87</v>
      </c>
      <c r="K93" s="16">
        <v>14.49</v>
      </c>
      <c r="L93" s="16">
        <v>15.23</v>
      </c>
      <c r="M93" s="16">
        <v>16.12</v>
      </c>
      <c r="N93" s="16">
        <v>17.19</v>
      </c>
      <c r="O93" s="16">
        <v>18.47</v>
      </c>
      <c r="P93" s="16">
        <v>20.01</v>
      </c>
    </row>
    <row r="94">
      <c r="A94" s="7" t="s">
        <v>165</v>
      </c>
      <c r="B94" s="16">
        <v>10.0</v>
      </c>
      <c r="C94" s="16">
        <v>10.22</v>
      </c>
      <c r="D94" s="16">
        <v>10.48</v>
      </c>
      <c r="E94" s="16">
        <v>11.77</v>
      </c>
      <c r="F94" s="16">
        <v>12.11</v>
      </c>
      <c r="G94" s="16">
        <v>12.5</v>
      </c>
      <c r="H94" s="16">
        <v>12.95</v>
      </c>
      <c r="I94" s="16">
        <v>13.46</v>
      </c>
      <c r="J94" s="16">
        <v>14.05</v>
      </c>
      <c r="K94" s="16">
        <v>14.73</v>
      </c>
      <c r="L94" s="16">
        <v>15.51</v>
      </c>
      <c r="M94" s="16">
        <v>16.41</v>
      </c>
      <c r="N94" s="16">
        <v>17.44</v>
      </c>
      <c r="O94" s="16">
        <v>18.63</v>
      </c>
      <c r="P94" s="16">
        <v>20.0</v>
      </c>
    </row>
    <row r="95">
      <c r="A95" s="7" t="s">
        <v>166</v>
      </c>
      <c r="B95" s="18">
        <v>10.0</v>
      </c>
      <c r="C95" s="18">
        <v>10.36</v>
      </c>
      <c r="D95" s="18">
        <v>10.75</v>
      </c>
      <c r="E95" s="18">
        <v>11.18</v>
      </c>
      <c r="F95" s="18">
        <v>11.66</v>
      </c>
      <c r="G95" s="18">
        <v>12.18</v>
      </c>
      <c r="H95" s="18">
        <v>12.76</v>
      </c>
      <c r="I95" s="18">
        <v>13.39</v>
      </c>
      <c r="J95" s="18">
        <v>14.09</v>
      </c>
      <c r="K95" s="18">
        <v>14.85</v>
      </c>
      <c r="L95" s="18">
        <v>15.7</v>
      </c>
      <c r="M95" s="18">
        <v>16.62</v>
      </c>
      <c r="N95" s="18">
        <v>17.64</v>
      </c>
      <c r="O95" s="18">
        <v>18.76</v>
      </c>
      <c r="P95" s="18">
        <v>20.0</v>
      </c>
    </row>
    <row r="96">
      <c r="A96" s="7" t="s">
        <v>167</v>
      </c>
      <c r="B96" s="18">
        <v>20.0</v>
      </c>
      <c r="C96" s="18">
        <v>20.72</v>
      </c>
      <c r="D96" s="18">
        <v>21.5</v>
      </c>
      <c r="E96" s="18">
        <v>22.37</v>
      </c>
      <c r="F96" s="18">
        <v>23.32</v>
      </c>
      <c r="G96" s="18">
        <v>24.36</v>
      </c>
      <c r="H96" s="18">
        <v>25.51</v>
      </c>
      <c r="I96" s="18">
        <v>26.78</v>
      </c>
      <c r="J96" s="18">
        <v>28.17</v>
      </c>
      <c r="K96" s="18">
        <v>29.71</v>
      </c>
      <c r="L96" s="18">
        <v>31.39</v>
      </c>
      <c r="M96" s="18">
        <v>33.24</v>
      </c>
      <c r="N96" s="18">
        <v>35.29</v>
      </c>
      <c r="O96" s="18">
        <v>37.53</v>
      </c>
      <c r="P96" s="18">
        <v>40.0</v>
      </c>
    </row>
    <row r="97">
      <c r="A97" s="7" t="s">
        <v>169</v>
      </c>
      <c r="B97" s="18">
        <v>10.0</v>
      </c>
      <c r="C97" s="18">
        <v>10.36</v>
      </c>
      <c r="D97" s="18">
        <v>10.75</v>
      </c>
      <c r="E97" s="18">
        <v>11.18</v>
      </c>
      <c r="F97" s="18">
        <v>11.66</v>
      </c>
      <c r="G97" s="18">
        <v>12.18</v>
      </c>
      <c r="H97" s="18">
        <v>12.76</v>
      </c>
      <c r="I97" s="18">
        <v>13.39</v>
      </c>
      <c r="J97" s="18">
        <v>14.09</v>
      </c>
      <c r="K97" s="18">
        <v>14.85</v>
      </c>
      <c r="L97" s="18">
        <v>15.7</v>
      </c>
      <c r="M97" s="18">
        <v>16.62</v>
      </c>
      <c r="N97" s="18">
        <v>17.64</v>
      </c>
      <c r="O97" s="18">
        <v>18.76</v>
      </c>
      <c r="P97" s="18">
        <v>20.0</v>
      </c>
    </row>
    <row r="98">
      <c r="A98" s="7" t="s">
        <v>170</v>
      </c>
      <c r="B98" s="16">
        <v>10.0</v>
      </c>
      <c r="C98" s="16">
        <v>11.07</v>
      </c>
      <c r="D98" s="16">
        <v>12.24</v>
      </c>
      <c r="E98" s="16">
        <v>13.53</v>
      </c>
      <c r="F98" s="16">
        <v>14.95</v>
      </c>
      <c r="G98" s="16">
        <v>16.51</v>
      </c>
      <c r="H98" s="16">
        <v>18.23</v>
      </c>
      <c r="I98" s="16">
        <v>20.12</v>
      </c>
      <c r="J98" s="16">
        <v>22.21</v>
      </c>
      <c r="K98" s="16">
        <v>24.51</v>
      </c>
      <c r="L98" s="16">
        <v>27.04</v>
      </c>
      <c r="M98" s="16">
        <v>29.83</v>
      </c>
      <c r="N98" s="16">
        <v>32.9</v>
      </c>
      <c r="O98" s="16">
        <v>36.28</v>
      </c>
      <c r="P98" s="16">
        <v>40.0</v>
      </c>
    </row>
    <row r="99">
      <c r="A99" s="7" t="s">
        <v>174</v>
      </c>
      <c r="B99" s="16">
        <v>10.0</v>
      </c>
      <c r="C99" s="16">
        <v>10.44</v>
      </c>
      <c r="D99" s="16">
        <v>10.95</v>
      </c>
      <c r="E99" s="16">
        <v>11.54</v>
      </c>
      <c r="F99" s="16">
        <v>14.22</v>
      </c>
      <c r="G99" s="16">
        <v>15.0</v>
      </c>
      <c r="H99" s="16">
        <v>15.89</v>
      </c>
      <c r="I99" s="16">
        <v>16.92</v>
      </c>
      <c r="J99" s="16">
        <v>18.1</v>
      </c>
      <c r="K99" s="16">
        <v>19.46</v>
      </c>
      <c r="L99" s="16">
        <v>21.02</v>
      </c>
      <c r="M99" s="16">
        <v>22.82</v>
      </c>
      <c r="N99" s="16">
        <v>24.89</v>
      </c>
      <c r="O99" s="16">
        <v>27.27</v>
      </c>
      <c r="P99" s="16">
        <v>30.0</v>
      </c>
    </row>
    <row r="100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3.25"/>
    <col customWidth="1" min="2" max="2" width="18.38"/>
    <col customWidth="1" min="4" max="4" width="17.88"/>
    <col customWidth="1" min="6" max="7" width="20.25"/>
  </cols>
  <sheetData>
    <row r="1">
      <c r="A1" s="1"/>
      <c r="B1" s="4" t="s">
        <v>1</v>
      </c>
      <c r="C1" s="4">
        <v>25.0</v>
      </c>
      <c r="D1" s="1"/>
      <c r="E1" s="1"/>
      <c r="F1" s="1"/>
      <c r="G1" s="1"/>
    </row>
    <row r="2">
      <c r="A2" s="1"/>
      <c r="B2" s="4" t="s">
        <v>3</v>
      </c>
      <c r="C2" s="4">
        <v>8.75</v>
      </c>
      <c r="D2" s="1"/>
      <c r="E2" s="1"/>
      <c r="F2" s="1"/>
      <c r="G2" s="1"/>
    </row>
    <row r="3">
      <c r="A3" s="1"/>
      <c r="B3" s="4" t="s">
        <v>8</v>
      </c>
      <c r="C3" s="4">
        <v>10.5</v>
      </c>
      <c r="D3" s="1"/>
      <c r="E3" s="1"/>
      <c r="F3" s="1"/>
      <c r="G3" s="1"/>
    </row>
    <row r="4">
      <c r="A4" s="1"/>
      <c r="B4" s="4" t="s">
        <v>13</v>
      </c>
      <c r="C4" s="4">
        <v>25.0</v>
      </c>
      <c r="D4" s="1"/>
      <c r="E4" s="1"/>
      <c r="F4" s="1"/>
      <c r="G4" s="1"/>
    </row>
    <row r="5">
      <c r="A5" s="1"/>
      <c r="B5" s="4" t="s">
        <v>15</v>
      </c>
      <c r="C5" s="4">
        <v>8.75</v>
      </c>
      <c r="D5" s="1"/>
      <c r="E5" s="1"/>
      <c r="F5" s="1"/>
      <c r="G5" s="1"/>
    </row>
    <row r="6">
      <c r="A6" s="1"/>
      <c r="B6" s="4" t="s">
        <v>16</v>
      </c>
      <c r="C6" s="4">
        <v>2.0</v>
      </c>
      <c r="D6" s="1"/>
      <c r="E6" s="1"/>
      <c r="F6" s="1"/>
      <c r="G6" s="1"/>
    </row>
    <row r="7">
      <c r="A7" s="1"/>
      <c r="B7" s="4" t="s">
        <v>18</v>
      </c>
      <c r="C7" s="4">
        <v>4.0</v>
      </c>
      <c r="D7" s="1"/>
      <c r="E7" s="1"/>
      <c r="F7" s="1"/>
      <c r="G7" s="1"/>
    </row>
    <row r="8">
      <c r="A8" s="1"/>
      <c r="B8" s="4" t="s">
        <v>19</v>
      </c>
      <c r="C8" s="4">
        <v>8.0</v>
      </c>
      <c r="D8" s="1"/>
      <c r="E8" s="1"/>
      <c r="F8" s="1"/>
      <c r="G8" s="1"/>
    </row>
    <row r="9">
      <c r="A9" s="1"/>
      <c r="B9" s="4" t="s">
        <v>21</v>
      </c>
      <c r="C9" s="4">
        <v>30.0</v>
      </c>
      <c r="D9" s="1"/>
      <c r="E9" s="1"/>
      <c r="F9" s="1"/>
      <c r="G9" s="1"/>
    </row>
    <row r="10">
      <c r="A10" s="1"/>
      <c r="B10" s="4" t="s">
        <v>23</v>
      </c>
      <c r="C10" s="4">
        <v>40.0</v>
      </c>
      <c r="D10" s="1"/>
      <c r="E10" s="1"/>
      <c r="F10" s="1"/>
      <c r="G10" s="1"/>
    </row>
    <row r="11">
      <c r="A11" s="4" t="s">
        <v>4</v>
      </c>
      <c r="B11" s="4" t="s">
        <v>25</v>
      </c>
      <c r="C11" s="4">
        <v>60.0</v>
      </c>
      <c r="D11" s="1"/>
      <c r="E11" s="1"/>
      <c r="F11" s="1"/>
      <c r="G11" s="1"/>
    </row>
    <row r="12">
      <c r="A12" s="4" t="s">
        <v>4</v>
      </c>
      <c r="B12" s="4" t="s">
        <v>26</v>
      </c>
      <c r="C12" s="4">
        <v>60.0</v>
      </c>
      <c r="D12" s="1"/>
      <c r="E12" s="1"/>
      <c r="F12" s="1"/>
      <c r="G12" s="1"/>
    </row>
    <row r="13">
      <c r="A13" s="4" t="s">
        <v>4</v>
      </c>
      <c r="B13" s="4" t="s">
        <v>28</v>
      </c>
      <c r="C13" s="4">
        <v>40.0</v>
      </c>
      <c r="D13" s="1"/>
      <c r="E13" s="1"/>
      <c r="F13" s="1"/>
      <c r="G13" s="1"/>
    </row>
    <row r="14">
      <c r="A14" s="4" t="s">
        <v>14</v>
      </c>
      <c r="B14" s="4" t="s">
        <v>30</v>
      </c>
      <c r="C14" s="4">
        <v>15.0</v>
      </c>
      <c r="D14" s="1"/>
      <c r="E14" s="1"/>
      <c r="F14" s="1"/>
      <c r="G14" s="1"/>
    </row>
    <row r="15">
      <c r="A15" s="4" t="s">
        <v>14</v>
      </c>
      <c r="B15" s="4" t="s">
        <v>31</v>
      </c>
      <c r="C15" s="4">
        <v>-20.0</v>
      </c>
      <c r="D15" s="1"/>
      <c r="E15" s="1"/>
      <c r="F15" s="1"/>
      <c r="G15" s="1"/>
    </row>
    <row r="16">
      <c r="A16" s="4" t="s">
        <v>14</v>
      </c>
      <c r="B16" s="4" t="s">
        <v>33</v>
      </c>
      <c r="C16" s="4">
        <v>15.0</v>
      </c>
      <c r="D16" s="1"/>
      <c r="E16" s="1"/>
      <c r="F16" s="1"/>
      <c r="G16" s="1"/>
    </row>
    <row r="17">
      <c r="A17" s="4" t="s">
        <v>17</v>
      </c>
      <c r="B17" s="4" t="s">
        <v>35</v>
      </c>
      <c r="C17" s="4"/>
      <c r="D17" s="1"/>
      <c r="E17" s="1"/>
      <c r="F17" s="1"/>
      <c r="G17" s="1"/>
    </row>
    <row r="18">
      <c r="A18" s="4" t="s">
        <v>20</v>
      </c>
      <c r="B18" s="4" t="s">
        <v>35</v>
      </c>
      <c r="C18" s="4"/>
      <c r="D18" s="1"/>
      <c r="E18" s="1"/>
      <c r="F18" s="1"/>
      <c r="G18" s="1"/>
    </row>
    <row r="19">
      <c r="A19" s="4" t="s">
        <v>22</v>
      </c>
      <c r="B19" s="4" t="s">
        <v>35</v>
      </c>
      <c r="C19" s="4"/>
      <c r="D19" s="1"/>
      <c r="E19" s="1"/>
      <c r="F19" s="1"/>
      <c r="G19" s="1"/>
    </row>
    <row r="20">
      <c r="A20" s="4" t="s">
        <v>24</v>
      </c>
      <c r="B20" s="4" t="s">
        <v>37</v>
      </c>
      <c r="C20" s="4">
        <v>20.0</v>
      </c>
      <c r="D20" s="1"/>
      <c r="E20" s="1"/>
      <c r="F20" s="1"/>
      <c r="G20" s="1"/>
    </row>
    <row r="21">
      <c r="A21" s="4" t="s">
        <v>27</v>
      </c>
      <c r="B21" s="4" t="s">
        <v>35</v>
      </c>
      <c r="C21" s="4"/>
      <c r="D21" s="1"/>
      <c r="E21" s="1"/>
      <c r="F21" s="1"/>
      <c r="G21" s="1"/>
    </row>
    <row r="22">
      <c r="A22" s="4" t="s">
        <v>29</v>
      </c>
      <c r="B22" s="4" t="s">
        <v>39</v>
      </c>
      <c r="C22" s="4">
        <v>40.0</v>
      </c>
      <c r="D22" s="1"/>
      <c r="E22" s="1"/>
      <c r="F22" s="1"/>
      <c r="G22" s="1"/>
    </row>
    <row r="23">
      <c r="A23" s="4" t="s">
        <v>32</v>
      </c>
      <c r="B23" s="4" t="s">
        <v>35</v>
      </c>
      <c r="C23" s="4"/>
      <c r="D23" s="1"/>
      <c r="E23" s="1"/>
      <c r="F23" s="1"/>
      <c r="G23" s="1"/>
    </row>
    <row r="24">
      <c r="A24" s="4" t="s">
        <v>34</v>
      </c>
      <c r="B24" s="4" t="s">
        <v>40</v>
      </c>
      <c r="C24" s="4">
        <v>25.0</v>
      </c>
      <c r="D24" s="1"/>
      <c r="E24" s="1"/>
      <c r="F24" s="1"/>
      <c r="G24" s="1"/>
    </row>
    <row r="25">
      <c r="A25" s="4" t="s">
        <v>34</v>
      </c>
      <c r="B25" s="4" t="s">
        <v>42</v>
      </c>
      <c r="C25" s="4">
        <v>50.0</v>
      </c>
      <c r="D25" s="1"/>
      <c r="E25" s="1"/>
      <c r="F25" s="1"/>
      <c r="G25" s="1"/>
    </row>
    <row r="26">
      <c r="A26" s="4" t="s">
        <v>34</v>
      </c>
      <c r="B26" s="4" t="s">
        <v>44</v>
      </c>
      <c r="C26" s="4">
        <v>30.0</v>
      </c>
      <c r="D26" s="1"/>
      <c r="E26" s="1"/>
      <c r="F26" s="1"/>
      <c r="G26" s="1"/>
    </row>
    <row r="27">
      <c r="A27" s="4" t="s">
        <v>36</v>
      </c>
      <c r="B27" s="4" t="s">
        <v>45</v>
      </c>
      <c r="C27" s="4">
        <v>20.0</v>
      </c>
      <c r="D27" s="1"/>
      <c r="E27" s="1"/>
      <c r="F27" s="1"/>
      <c r="G27" s="1"/>
    </row>
    <row r="28">
      <c r="A28" s="4" t="s">
        <v>36</v>
      </c>
      <c r="B28" s="4" t="s">
        <v>48</v>
      </c>
      <c r="C28" s="4">
        <v>30.0</v>
      </c>
      <c r="D28" s="1"/>
      <c r="E28" s="1"/>
      <c r="F28" s="1"/>
      <c r="G28" s="1"/>
    </row>
    <row r="29">
      <c r="A29" s="4" t="s">
        <v>38</v>
      </c>
      <c r="B29" s="4" t="s">
        <v>35</v>
      </c>
      <c r="C29" s="4"/>
      <c r="D29" s="1"/>
      <c r="E29" s="1"/>
      <c r="F29" s="1"/>
      <c r="G29" s="1"/>
    </row>
    <row r="30">
      <c r="A30" s="4" t="s">
        <v>41</v>
      </c>
      <c r="B30" s="4" t="s">
        <v>35</v>
      </c>
      <c r="C30" s="4"/>
      <c r="D30" s="1"/>
      <c r="E30" s="1"/>
      <c r="F30" s="1"/>
      <c r="G30" s="1"/>
    </row>
    <row r="31">
      <c r="A31" s="4" t="s">
        <v>43</v>
      </c>
      <c r="B31" s="4" t="s">
        <v>35</v>
      </c>
      <c r="C31" s="4"/>
      <c r="D31" s="1"/>
      <c r="E31" s="1"/>
      <c r="F31" s="1"/>
      <c r="G31" s="1"/>
    </row>
    <row r="32">
      <c r="A32" s="4" t="s">
        <v>46</v>
      </c>
      <c r="B32" s="4" t="s">
        <v>35</v>
      </c>
      <c r="C32" s="4"/>
      <c r="D32" s="1"/>
      <c r="E32" s="1"/>
      <c r="F32" s="1"/>
      <c r="G32" s="1"/>
    </row>
    <row r="33">
      <c r="A33" s="4" t="s">
        <v>49</v>
      </c>
      <c r="B33" s="4" t="s">
        <v>52</v>
      </c>
      <c r="C33" s="4">
        <v>20.0</v>
      </c>
      <c r="D33" s="1"/>
      <c r="E33" s="1"/>
      <c r="F33" s="1"/>
      <c r="G33" s="1"/>
    </row>
    <row r="34">
      <c r="A34" s="4" t="s">
        <v>49</v>
      </c>
      <c r="B34" s="4" t="s">
        <v>55</v>
      </c>
      <c r="C34" s="4">
        <v>45.0</v>
      </c>
      <c r="D34" s="1"/>
      <c r="E34" s="1"/>
      <c r="F34" s="1"/>
      <c r="G34" s="1"/>
    </row>
    <row r="35">
      <c r="A35" s="4" t="s">
        <v>49</v>
      </c>
      <c r="B35" s="4" t="s">
        <v>57</v>
      </c>
      <c r="C35" s="4">
        <v>35.0</v>
      </c>
      <c r="D35" s="1"/>
      <c r="E35" s="1"/>
      <c r="F35" s="1"/>
      <c r="G35" s="1"/>
    </row>
    <row r="36">
      <c r="A36" s="4" t="s">
        <v>50</v>
      </c>
      <c r="B36" s="4" t="s">
        <v>35</v>
      </c>
      <c r="C36" s="1"/>
      <c r="D36" s="1"/>
      <c r="E36" s="1"/>
      <c r="F36" s="1"/>
      <c r="G36" s="1"/>
    </row>
    <row r="37">
      <c r="A37" s="4" t="s">
        <v>51</v>
      </c>
      <c r="B37" s="4" t="s">
        <v>35</v>
      </c>
      <c r="C37" s="1"/>
      <c r="D37" s="1"/>
      <c r="E37" s="1"/>
      <c r="F37" s="1"/>
      <c r="G37" s="1"/>
    </row>
    <row r="38">
      <c r="A38" s="4" t="s">
        <v>54</v>
      </c>
      <c r="B38" s="4" t="s">
        <v>35</v>
      </c>
      <c r="C38" s="1"/>
      <c r="D38" s="1"/>
      <c r="E38" s="1"/>
      <c r="F38" s="1"/>
      <c r="G38" s="1"/>
    </row>
    <row r="39">
      <c r="A39" s="4" t="s">
        <v>56</v>
      </c>
      <c r="B39" s="4" t="s">
        <v>35</v>
      </c>
      <c r="C39" s="1"/>
      <c r="D39" s="1"/>
      <c r="E39" s="1"/>
      <c r="F39" s="1"/>
      <c r="G39" s="1"/>
    </row>
    <row r="40">
      <c r="A40" s="4" t="s">
        <v>58</v>
      </c>
      <c r="B40" s="4" t="s">
        <v>35</v>
      </c>
      <c r="C40" s="1"/>
      <c r="D40" s="1"/>
      <c r="E40" s="1"/>
      <c r="F40" s="1"/>
      <c r="G40" s="1"/>
    </row>
    <row r="41">
      <c r="A41" s="4" t="s">
        <v>59</v>
      </c>
      <c r="B41" s="4" t="s">
        <v>62</v>
      </c>
      <c r="C41" s="4">
        <v>3.0</v>
      </c>
      <c r="D41" s="4" t="s">
        <v>63</v>
      </c>
      <c r="E41" s="1"/>
      <c r="F41" s="4"/>
      <c r="G41" s="4"/>
    </row>
    <row r="42">
      <c r="A42" s="4" t="s">
        <v>59</v>
      </c>
      <c r="B42" s="4" t="s">
        <v>64</v>
      </c>
      <c r="C42" s="4">
        <v>25.0</v>
      </c>
      <c r="D42" s="1"/>
      <c r="E42" s="1"/>
      <c r="F42" s="1"/>
      <c r="G42" s="1"/>
    </row>
    <row r="43">
      <c r="A43" s="4" t="s">
        <v>59</v>
      </c>
      <c r="B43" s="4" t="s">
        <v>66</v>
      </c>
      <c r="C43" s="4">
        <v>40.0</v>
      </c>
      <c r="D43" s="4">
        <v>1.0</v>
      </c>
      <c r="E43" s="4" t="s">
        <v>67</v>
      </c>
      <c r="F43" s="1"/>
      <c r="G43" s="1"/>
    </row>
    <row r="44">
      <c r="A44" s="4" t="s">
        <v>60</v>
      </c>
      <c r="B44" s="4" t="s">
        <v>35</v>
      </c>
      <c r="C44" s="1"/>
      <c r="D44" s="1"/>
      <c r="E44" s="1"/>
      <c r="F44" s="1"/>
      <c r="G44" s="1"/>
    </row>
    <row r="45">
      <c r="A45" s="4" t="s">
        <v>61</v>
      </c>
      <c r="B45" s="4" t="s">
        <v>35</v>
      </c>
      <c r="C45" s="1"/>
      <c r="D45" s="1"/>
      <c r="E45" s="1"/>
      <c r="F45" s="1"/>
      <c r="G45" s="1"/>
    </row>
    <row r="46">
      <c r="A46" s="4" t="s">
        <v>65</v>
      </c>
      <c r="B46" s="4" t="s">
        <v>35</v>
      </c>
      <c r="C46" s="1"/>
      <c r="D46" s="1"/>
      <c r="E46" s="1"/>
      <c r="F46" s="1"/>
      <c r="G46" s="1"/>
    </row>
    <row r="47">
      <c r="A47" s="4" t="s">
        <v>68</v>
      </c>
      <c r="B47" s="4" t="s">
        <v>70</v>
      </c>
      <c r="C47" s="4">
        <v>40.0</v>
      </c>
      <c r="D47" s="1"/>
      <c r="E47" s="1"/>
      <c r="F47" s="1"/>
      <c r="G47" s="1"/>
    </row>
    <row r="48">
      <c r="A48" s="4" t="s">
        <v>68</v>
      </c>
      <c r="B48" s="4" t="s">
        <v>72</v>
      </c>
      <c r="C48" s="4">
        <v>200.0</v>
      </c>
      <c r="D48" s="1"/>
      <c r="E48" s="1"/>
      <c r="F48" s="1"/>
      <c r="G48" s="1"/>
    </row>
    <row r="49">
      <c r="A49" s="4" t="s">
        <v>68</v>
      </c>
      <c r="B49" s="4" t="s">
        <v>74</v>
      </c>
      <c r="C49" s="4">
        <v>85.0</v>
      </c>
      <c r="D49" s="1"/>
      <c r="E49" s="1"/>
      <c r="F49" s="1"/>
      <c r="G49" s="1"/>
    </row>
    <row r="50">
      <c r="A50" s="4" t="s">
        <v>69</v>
      </c>
      <c r="B50" s="4" t="s">
        <v>72</v>
      </c>
      <c r="C50" s="4">
        <v>80.0</v>
      </c>
      <c r="D50" s="1"/>
      <c r="E50" s="1"/>
      <c r="F50" s="1"/>
      <c r="G50" s="1"/>
    </row>
    <row r="51">
      <c r="A51" s="4" t="s">
        <v>69</v>
      </c>
      <c r="B51" s="4" t="s">
        <v>76</v>
      </c>
      <c r="C51" s="4">
        <v>35.0</v>
      </c>
      <c r="D51" s="1"/>
      <c r="E51" s="1"/>
      <c r="F51" s="1"/>
      <c r="G51" s="1"/>
    </row>
    <row r="52">
      <c r="A52" s="4" t="s">
        <v>69</v>
      </c>
      <c r="B52" s="4" t="s">
        <v>57</v>
      </c>
      <c r="C52" s="4">
        <v>35.0</v>
      </c>
      <c r="D52" s="1"/>
      <c r="E52" s="1"/>
      <c r="F52" s="1"/>
      <c r="G52" s="1"/>
    </row>
    <row r="53">
      <c r="A53" s="4" t="s">
        <v>71</v>
      </c>
      <c r="B53" s="4" t="s">
        <v>78</v>
      </c>
      <c r="C53" s="4">
        <v>100.0</v>
      </c>
      <c r="D53" s="4" t="s">
        <v>79</v>
      </c>
      <c r="E53" s="1"/>
      <c r="F53" s="4"/>
      <c r="G53" s="4"/>
    </row>
    <row r="54">
      <c r="A54" s="4" t="s">
        <v>71</v>
      </c>
      <c r="B54" s="4" t="s">
        <v>57</v>
      </c>
      <c r="C54" s="4">
        <v>35.0</v>
      </c>
      <c r="D54" s="1"/>
      <c r="E54" s="1"/>
      <c r="F54" s="1"/>
      <c r="G54" s="1"/>
    </row>
    <row r="55">
      <c r="A55" s="4" t="s">
        <v>73</v>
      </c>
      <c r="B55" s="4" t="s">
        <v>35</v>
      </c>
      <c r="C55" s="1"/>
      <c r="D55" s="1"/>
      <c r="E55" s="1"/>
      <c r="F55" s="1"/>
      <c r="G55" s="1"/>
    </row>
    <row r="56">
      <c r="A56" s="4" t="s">
        <v>75</v>
      </c>
      <c r="B56" s="4" t="s">
        <v>82</v>
      </c>
      <c r="C56" s="4">
        <v>40.0</v>
      </c>
      <c r="D56" s="1"/>
      <c r="E56" s="1"/>
      <c r="F56" s="1"/>
      <c r="G56" s="1"/>
    </row>
    <row r="57">
      <c r="A57" s="4" t="s">
        <v>77</v>
      </c>
      <c r="B57" s="4" t="s">
        <v>35</v>
      </c>
      <c r="C57" s="1"/>
      <c r="D57" s="1"/>
      <c r="E57" s="1"/>
      <c r="F57" s="1"/>
      <c r="G57" s="1"/>
    </row>
    <row r="58">
      <c r="A58" s="4" t="s">
        <v>80</v>
      </c>
      <c r="B58" s="4" t="s">
        <v>84</v>
      </c>
      <c r="C58" s="4">
        <v>25.0</v>
      </c>
      <c r="D58" s="1"/>
      <c r="E58" s="1"/>
      <c r="F58" s="1"/>
      <c r="G58" s="1"/>
    </row>
    <row r="59">
      <c r="A59" s="4" t="s">
        <v>81</v>
      </c>
      <c r="B59" s="4" t="s">
        <v>85</v>
      </c>
      <c r="C59" s="4">
        <v>140.0</v>
      </c>
      <c r="D59" s="1"/>
      <c r="E59" s="1"/>
      <c r="F59" s="1"/>
      <c r="G59" s="1"/>
    </row>
    <row r="60">
      <c r="A60" s="4" t="s">
        <v>81</v>
      </c>
      <c r="B60" s="4" t="s">
        <v>57</v>
      </c>
      <c r="C60" s="4">
        <v>35.0</v>
      </c>
      <c r="D60" s="1"/>
      <c r="E60" s="1"/>
      <c r="F60" s="1"/>
      <c r="G60" s="1"/>
    </row>
    <row r="61">
      <c r="A61" s="4" t="s">
        <v>83</v>
      </c>
      <c r="B61" s="4" t="s">
        <v>88</v>
      </c>
      <c r="C61" s="4">
        <v>28.0</v>
      </c>
      <c r="D61" s="4">
        <v>3.0</v>
      </c>
      <c r="E61" s="4" t="s">
        <v>67</v>
      </c>
      <c r="F61" s="1"/>
      <c r="G61" s="1"/>
    </row>
    <row r="62">
      <c r="A62" s="4" t="s">
        <v>83</v>
      </c>
      <c r="B62" s="4" t="s">
        <v>89</v>
      </c>
      <c r="C62" s="4">
        <v>30.0</v>
      </c>
      <c r="D62" s="1"/>
      <c r="E62" s="1"/>
      <c r="F62" s="1"/>
      <c r="G62" s="1"/>
    </row>
    <row r="63">
      <c r="A63" s="4" t="s">
        <v>86</v>
      </c>
      <c r="B63" s="4" t="s">
        <v>35</v>
      </c>
      <c r="C63" s="1"/>
      <c r="D63" s="1"/>
      <c r="E63" s="1"/>
      <c r="F63" s="1"/>
      <c r="G63" s="1"/>
    </row>
    <row r="64">
      <c r="A64" s="4" t="s">
        <v>87</v>
      </c>
      <c r="B64" s="4" t="s">
        <v>35</v>
      </c>
      <c r="C64" s="1"/>
      <c r="D64" s="1"/>
      <c r="E64" s="1"/>
      <c r="F64" s="1"/>
      <c r="G64" s="1"/>
    </row>
    <row r="65">
      <c r="A65" s="4" t="s">
        <v>90</v>
      </c>
      <c r="B65" s="4" t="s">
        <v>92</v>
      </c>
      <c r="C65" s="4">
        <v>1.0</v>
      </c>
      <c r="D65" s="1"/>
      <c r="E65" s="1"/>
      <c r="F65" s="1"/>
      <c r="G65" s="1"/>
    </row>
    <row r="66">
      <c r="A66" s="4" t="s">
        <v>90</v>
      </c>
      <c r="B66" s="4" t="s">
        <v>94</v>
      </c>
      <c r="C66" s="4">
        <v>60.0</v>
      </c>
      <c r="D66" s="1"/>
      <c r="E66" s="1"/>
      <c r="F66" s="1"/>
      <c r="G66" s="1"/>
    </row>
    <row r="67">
      <c r="A67" s="4" t="s">
        <v>90</v>
      </c>
      <c r="B67" s="4" t="s">
        <v>96</v>
      </c>
      <c r="C67" s="4">
        <v>100.0</v>
      </c>
      <c r="D67" s="1"/>
      <c r="E67" s="1"/>
      <c r="F67" s="1"/>
      <c r="G67" s="1"/>
    </row>
    <row r="68">
      <c r="A68" s="4" t="s">
        <v>90</v>
      </c>
      <c r="B68" s="4" t="s">
        <v>57</v>
      </c>
      <c r="C68" s="4">
        <v>35.0</v>
      </c>
      <c r="D68" s="1"/>
      <c r="E68" s="1"/>
      <c r="F68" s="1"/>
      <c r="G68" s="1"/>
    </row>
    <row r="69">
      <c r="A69" s="4" t="s">
        <v>91</v>
      </c>
      <c r="B69" s="4" t="s">
        <v>35</v>
      </c>
      <c r="C69" s="1"/>
      <c r="D69" s="1"/>
      <c r="E69" s="1"/>
      <c r="F69" s="1"/>
      <c r="G69" s="1"/>
    </row>
    <row r="70">
      <c r="A70" s="4" t="s">
        <v>93</v>
      </c>
      <c r="B70" s="4" t="s">
        <v>35</v>
      </c>
      <c r="C70" s="1"/>
      <c r="D70" s="1"/>
      <c r="E70" s="1"/>
      <c r="F70" s="1"/>
      <c r="G70" s="1"/>
    </row>
    <row r="71">
      <c r="A71" s="4" t="s">
        <v>95</v>
      </c>
      <c r="B71" s="4" t="s">
        <v>57</v>
      </c>
      <c r="C71" s="4">
        <v>35.0</v>
      </c>
      <c r="D71" s="1"/>
      <c r="E71" s="1"/>
      <c r="F71" s="1"/>
      <c r="G71" s="1"/>
    </row>
    <row r="72">
      <c r="A72" s="4" t="s">
        <v>97</v>
      </c>
      <c r="B72" s="4" t="s">
        <v>102</v>
      </c>
      <c r="C72" s="4">
        <v>40.0</v>
      </c>
      <c r="D72" s="1"/>
      <c r="E72" s="1"/>
      <c r="F72" s="1"/>
      <c r="G72" s="1"/>
    </row>
    <row r="73">
      <c r="A73" s="4" t="s">
        <v>97</v>
      </c>
      <c r="B73" s="4" t="s">
        <v>103</v>
      </c>
      <c r="C73" s="4">
        <v>30.0</v>
      </c>
      <c r="D73" s="4">
        <v>10.0</v>
      </c>
      <c r="E73" s="4" t="s">
        <v>104</v>
      </c>
      <c r="F73" s="1"/>
      <c r="G73" s="1"/>
    </row>
    <row r="74">
      <c r="A74" s="4" t="s">
        <v>98</v>
      </c>
      <c r="B74" s="4" t="s">
        <v>102</v>
      </c>
      <c r="C74" s="4">
        <v>40.0</v>
      </c>
      <c r="D74" s="4"/>
      <c r="E74" s="1"/>
      <c r="F74" s="1"/>
      <c r="G74" s="1"/>
    </row>
    <row r="75">
      <c r="A75" s="4" t="s">
        <v>98</v>
      </c>
      <c r="B75" s="4" t="s">
        <v>103</v>
      </c>
      <c r="C75" s="4">
        <v>30.0</v>
      </c>
      <c r="D75" s="4">
        <v>10.0</v>
      </c>
      <c r="E75" s="4" t="s">
        <v>104</v>
      </c>
      <c r="F75" s="1"/>
      <c r="G75" s="1"/>
    </row>
    <row r="76">
      <c r="A76" s="4" t="s">
        <v>99</v>
      </c>
      <c r="B76" s="4" t="s">
        <v>35</v>
      </c>
      <c r="C76" s="1"/>
      <c r="D76" s="1"/>
      <c r="E76" s="1"/>
      <c r="F76" s="1"/>
      <c r="G76" s="1"/>
    </row>
    <row r="77">
      <c r="A77" s="4" t="s">
        <v>100</v>
      </c>
      <c r="B77" s="4" t="s">
        <v>35</v>
      </c>
      <c r="C77" s="1"/>
      <c r="D77" s="1"/>
      <c r="E77" s="1"/>
      <c r="F77" s="1"/>
      <c r="G77" s="1"/>
    </row>
    <row r="78">
      <c r="A78" s="4" t="s">
        <v>101</v>
      </c>
      <c r="B78" s="4" t="s">
        <v>57</v>
      </c>
      <c r="C78" s="4">
        <v>35.0</v>
      </c>
      <c r="D78" s="1"/>
      <c r="E78" s="1"/>
      <c r="F78" s="1"/>
      <c r="G78" s="1"/>
    </row>
    <row r="79">
      <c r="A79" s="4" t="s">
        <v>105</v>
      </c>
      <c r="B79" s="4" t="s">
        <v>35</v>
      </c>
      <c r="C79" s="1"/>
      <c r="D79" s="1"/>
      <c r="E79" s="1"/>
      <c r="F79" s="1"/>
      <c r="G79" s="1"/>
    </row>
    <row r="80">
      <c r="A80" s="4" t="s">
        <v>106</v>
      </c>
      <c r="B80" s="4" t="s">
        <v>35</v>
      </c>
      <c r="C80" s="1"/>
      <c r="D80" s="1"/>
      <c r="E80" s="1"/>
      <c r="F80" s="1"/>
      <c r="G80" s="1"/>
    </row>
    <row r="81">
      <c r="A81" s="4" t="s">
        <v>107</v>
      </c>
      <c r="B81" s="4" t="s">
        <v>35</v>
      </c>
      <c r="C81" s="1"/>
      <c r="D81" s="1"/>
      <c r="E81" s="1"/>
      <c r="F81" s="1"/>
      <c r="G81" s="1"/>
    </row>
    <row r="82">
      <c r="A82" s="4" t="s">
        <v>108</v>
      </c>
      <c r="B82" s="4" t="s">
        <v>35</v>
      </c>
      <c r="C82" s="1"/>
      <c r="D82" s="1"/>
      <c r="E82" s="1"/>
      <c r="F82" s="1"/>
      <c r="G82" s="1"/>
    </row>
    <row r="83">
      <c r="A83" s="4" t="s">
        <v>109</v>
      </c>
      <c r="B83" s="4" t="s">
        <v>35</v>
      </c>
      <c r="C83" s="1"/>
      <c r="D83" s="1"/>
      <c r="E83" s="1"/>
      <c r="F83" s="1"/>
      <c r="G83" s="1"/>
    </row>
    <row r="84">
      <c r="A84" s="4" t="s">
        <v>110</v>
      </c>
      <c r="B84" s="4" t="s">
        <v>35</v>
      </c>
      <c r="C84" s="1"/>
      <c r="D84" s="1"/>
      <c r="E84" s="1"/>
      <c r="F84" s="1"/>
      <c r="G84" s="1"/>
    </row>
    <row r="85">
      <c r="A85" s="4" t="s">
        <v>111</v>
      </c>
      <c r="B85" s="4" t="s">
        <v>84</v>
      </c>
      <c r="C85" s="4">
        <v>15.0</v>
      </c>
      <c r="D85" s="1"/>
      <c r="E85" s="1"/>
      <c r="F85" s="1"/>
      <c r="G85" s="1"/>
    </row>
    <row r="86">
      <c r="A86" s="4" t="s">
        <v>111</v>
      </c>
      <c r="B86" s="4" t="s">
        <v>114</v>
      </c>
      <c r="C86" s="4">
        <v>40.0</v>
      </c>
      <c r="D86" s="1"/>
      <c r="E86" s="1"/>
      <c r="F86" s="1"/>
      <c r="G86" s="1"/>
    </row>
    <row r="87">
      <c r="A87" s="4" t="s">
        <v>111</v>
      </c>
      <c r="B87" s="4" t="s">
        <v>115</v>
      </c>
      <c r="C87" s="4">
        <v>50.0</v>
      </c>
      <c r="D87" s="1"/>
      <c r="E87" s="1"/>
      <c r="F87" s="1"/>
      <c r="G87" s="1"/>
    </row>
    <row r="88">
      <c r="A88" s="4" t="s">
        <v>111</v>
      </c>
      <c r="B88" s="4" t="s">
        <v>57</v>
      </c>
      <c r="C88" s="4">
        <v>35.0</v>
      </c>
      <c r="D88" s="1"/>
      <c r="E88" s="1"/>
      <c r="F88" s="1"/>
      <c r="G88" s="1"/>
    </row>
    <row r="89">
      <c r="A89" s="4" t="s">
        <v>112</v>
      </c>
      <c r="B89" s="4" t="s">
        <v>35</v>
      </c>
      <c r="C89" s="1"/>
      <c r="D89" s="1"/>
      <c r="E89" s="1"/>
      <c r="F89" s="1"/>
      <c r="G89" s="1"/>
    </row>
    <row r="90">
      <c r="A90" s="4" t="s">
        <v>113</v>
      </c>
      <c r="B90" s="4" t="s">
        <v>35</v>
      </c>
      <c r="C90" s="1"/>
      <c r="D90" s="1"/>
      <c r="E90" s="1"/>
      <c r="F90" s="1"/>
      <c r="G90" s="1"/>
    </row>
    <row r="91">
      <c r="A91" s="4" t="s">
        <v>116</v>
      </c>
      <c r="B91" s="4" t="s">
        <v>119</v>
      </c>
      <c r="C91" s="4">
        <v>80.0</v>
      </c>
      <c r="D91" s="1"/>
      <c r="E91" s="1"/>
      <c r="F91" s="1"/>
      <c r="G91" s="1"/>
    </row>
    <row r="92">
      <c r="A92" s="4" t="s">
        <v>116</v>
      </c>
      <c r="B92" s="4" t="s">
        <v>120</v>
      </c>
      <c r="C92" s="4">
        <v>100.0</v>
      </c>
      <c r="D92" s="1"/>
      <c r="E92" s="1"/>
      <c r="F92" s="1"/>
      <c r="G92" s="1"/>
    </row>
    <row r="93">
      <c r="A93" s="4" t="s">
        <v>117</v>
      </c>
      <c r="B93" s="4" t="s">
        <v>35</v>
      </c>
      <c r="C93" s="4"/>
      <c r="D93" s="1"/>
      <c r="E93" s="1"/>
      <c r="F93" s="1"/>
      <c r="G93" s="1"/>
    </row>
    <row r="94">
      <c r="A94" s="4" t="s">
        <v>118</v>
      </c>
      <c r="B94" s="4" t="s">
        <v>35</v>
      </c>
      <c r="C94" s="1"/>
      <c r="D94" s="1"/>
      <c r="E94" s="1"/>
      <c r="F94" s="1"/>
      <c r="G94" s="1"/>
    </row>
    <row r="95">
      <c r="A95" s="4" t="s">
        <v>121</v>
      </c>
      <c r="B95" s="4" t="s">
        <v>35</v>
      </c>
      <c r="C95" s="1"/>
      <c r="D95" s="1"/>
      <c r="E95" s="1"/>
      <c r="F95" s="1"/>
      <c r="G95" s="1"/>
    </row>
    <row r="96">
      <c r="A96" s="4" t="s">
        <v>123</v>
      </c>
      <c r="B96" s="4" t="s">
        <v>35</v>
      </c>
      <c r="C96" s="1"/>
      <c r="D96" s="1"/>
      <c r="E96" s="1"/>
      <c r="F96" s="1"/>
      <c r="G96" s="1"/>
    </row>
    <row r="97">
      <c r="A97" s="4" t="s">
        <v>47</v>
      </c>
      <c r="B97" s="4" t="s">
        <v>125</v>
      </c>
      <c r="C97" s="21">
        <v>3.0</v>
      </c>
      <c r="D97" s="4" t="s">
        <v>127</v>
      </c>
      <c r="E97" s="1"/>
      <c r="F97" s="4"/>
      <c r="G97" s="4"/>
    </row>
    <row r="98">
      <c r="A98" s="4" t="s">
        <v>47</v>
      </c>
      <c r="B98" s="4" t="s">
        <v>129</v>
      </c>
      <c r="C98" s="21">
        <v>35.0</v>
      </c>
      <c r="D98" s="1"/>
      <c r="E98" s="1"/>
      <c r="F98" s="1"/>
      <c r="G98" s="1"/>
    </row>
    <row r="99">
      <c r="A99" s="4" t="s">
        <v>126</v>
      </c>
      <c r="B99" s="4" t="s">
        <v>35</v>
      </c>
      <c r="C99" s="1"/>
      <c r="D99" s="1"/>
      <c r="E99" s="1"/>
      <c r="F99" s="1"/>
      <c r="G99" s="1"/>
    </row>
    <row r="100">
      <c r="A100" s="4" t="s">
        <v>128</v>
      </c>
      <c r="B100" s="4" t="s">
        <v>35</v>
      </c>
      <c r="C100" s="1"/>
      <c r="D100" s="1"/>
      <c r="E100" s="1"/>
      <c r="F100" s="1"/>
      <c r="G100" s="1"/>
    </row>
    <row r="101">
      <c r="A101" s="4" t="s">
        <v>130</v>
      </c>
      <c r="B101" s="4" t="s">
        <v>35</v>
      </c>
      <c r="C101" s="1"/>
      <c r="D101" s="1"/>
      <c r="E101" s="1"/>
      <c r="F101" s="1"/>
      <c r="G101" s="1"/>
    </row>
    <row r="102">
      <c r="A102" s="4" t="s">
        <v>131</v>
      </c>
      <c r="B102" s="4" t="s">
        <v>35</v>
      </c>
      <c r="C102" s="1"/>
      <c r="D102" s="1"/>
      <c r="E102" s="1"/>
      <c r="F102" s="1"/>
      <c r="G102" s="1"/>
    </row>
    <row r="103">
      <c r="A103" s="4" t="s">
        <v>132</v>
      </c>
      <c r="B103" s="4" t="s">
        <v>133</v>
      </c>
      <c r="C103" s="4">
        <v>15.0</v>
      </c>
      <c r="D103" s="1"/>
      <c r="E103" s="1"/>
      <c r="F103" s="1"/>
      <c r="G103" s="1"/>
    </row>
    <row r="104">
      <c r="A104" s="4" t="s">
        <v>134</v>
      </c>
      <c r="B104" s="4" t="s">
        <v>35</v>
      </c>
      <c r="C104" s="4"/>
      <c r="D104" s="1"/>
      <c r="E104" s="1"/>
      <c r="F104" s="1"/>
      <c r="G104" s="1"/>
    </row>
    <row r="105">
      <c r="A105" s="4" t="s">
        <v>135</v>
      </c>
      <c r="B105" s="4" t="s">
        <v>136</v>
      </c>
      <c r="C105" s="4">
        <v>30.0</v>
      </c>
      <c r="D105" s="4" t="s">
        <v>104</v>
      </c>
      <c r="E105" s="1"/>
      <c r="F105" s="4"/>
      <c r="G105" s="4"/>
    </row>
    <row r="106">
      <c r="A106" s="4" t="s">
        <v>135</v>
      </c>
      <c r="B106" s="4" t="s">
        <v>57</v>
      </c>
      <c r="C106" s="4">
        <v>35.0</v>
      </c>
      <c r="D106" s="1"/>
      <c r="E106" s="1"/>
      <c r="F106" s="1"/>
      <c r="G106" s="1"/>
    </row>
    <row r="107">
      <c r="A107" s="4" t="s">
        <v>137</v>
      </c>
      <c r="B107" s="4" t="s">
        <v>35</v>
      </c>
      <c r="C107" s="1"/>
      <c r="D107" s="1"/>
      <c r="E107" s="1"/>
      <c r="F107" s="1"/>
      <c r="G107" s="1"/>
    </row>
    <row r="108">
      <c r="A108" s="4" t="s">
        <v>138</v>
      </c>
      <c r="B108" s="4" t="s">
        <v>35</v>
      </c>
      <c r="C108" s="1"/>
      <c r="D108" s="1"/>
      <c r="E108" s="1"/>
      <c r="F108" s="1"/>
      <c r="G108" s="1"/>
    </row>
    <row r="109">
      <c r="A109" s="4" t="s">
        <v>139</v>
      </c>
      <c r="B109" s="4" t="s">
        <v>35</v>
      </c>
      <c r="C109" s="1"/>
      <c r="D109" s="1"/>
      <c r="E109" s="1"/>
      <c r="F109" s="1"/>
      <c r="G109" s="1"/>
    </row>
    <row r="110">
      <c r="A110" s="4" t="s">
        <v>140</v>
      </c>
      <c r="B110" s="4" t="s">
        <v>141</v>
      </c>
      <c r="C110" s="4">
        <v>45.0</v>
      </c>
      <c r="D110" s="1"/>
      <c r="E110" s="1"/>
      <c r="F110" s="1"/>
      <c r="G110" s="1"/>
    </row>
    <row r="111">
      <c r="A111" s="4" t="s">
        <v>140</v>
      </c>
      <c r="B111" s="4" t="s">
        <v>57</v>
      </c>
      <c r="C111" s="4">
        <v>35.0</v>
      </c>
      <c r="D111" s="1"/>
      <c r="E111" s="1"/>
      <c r="F111" s="1"/>
      <c r="G111" s="1"/>
    </row>
    <row r="112">
      <c r="A112" s="4" t="s">
        <v>142</v>
      </c>
      <c r="B112" s="4" t="s">
        <v>35</v>
      </c>
      <c r="C112" s="1"/>
      <c r="D112" s="1"/>
      <c r="E112" s="1"/>
      <c r="F112" s="1"/>
      <c r="G112" s="1"/>
    </row>
    <row r="113">
      <c r="A113" s="4" t="s">
        <v>143</v>
      </c>
      <c r="B113" s="4" t="s">
        <v>35</v>
      </c>
      <c r="C113" s="1"/>
      <c r="D113" s="1"/>
      <c r="E113" s="1"/>
      <c r="F113" s="1"/>
      <c r="G113" s="1"/>
    </row>
    <row r="114">
      <c r="A114" s="4" t="s">
        <v>144</v>
      </c>
      <c r="B114" s="4" t="s">
        <v>35</v>
      </c>
      <c r="C114" s="1"/>
      <c r="D114" s="1"/>
      <c r="E114" s="1"/>
      <c r="F114" s="1"/>
      <c r="G114" s="1"/>
    </row>
    <row r="115">
      <c r="A115" s="4" t="s">
        <v>145</v>
      </c>
      <c r="B115" s="4" t="s">
        <v>35</v>
      </c>
      <c r="C115" s="1"/>
      <c r="D115" s="1"/>
      <c r="E115" s="1"/>
      <c r="F115" s="1"/>
      <c r="G115" s="1"/>
    </row>
    <row r="116">
      <c r="A116" s="4" t="s">
        <v>146</v>
      </c>
      <c r="B116" s="4" t="s">
        <v>35</v>
      </c>
      <c r="C116" s="1"/>
      <c r="D116" s="1"/>
      <c r="E116" s="1"/>
      <c r="F116" s="1"/>
      <c r="G116" s="1"/>
    </row>
    <row r="117">
      <c r="A117" s="4" t="s">
        <v>147</v>
      </c>
      <c r="B117" s="4" t="s">
        <v>35</v>
      </c>
      <c r="C117" s="1"/>
      <c r="D117" s="1"/>
      <c r="E117" s="1"/>
      <c r="F117" s="1"/>
      <c r="G117" s="1"/>
    </row>
    <row r="118">
      <c r="A118" s="4" t="s">
        <v>148</v>
      </c>
      <c r="B118" s="4" t="s">
        <v>35</v>
      </c>
      <c r="C118" s="1"/>
      <c r="D118" s="1"/>
      <c r="E118" s="1"/>
      <c r="F118" s="1"/>
      <c r="G118" s="1"/>
    </row>
    <row r="119">
      <c r="A119" s="4" t="s">
        <v>149</v>
      </c>
      <c r="B119" s="4" t="s">
        <v>35</v>
      </c>
      <c r="C119" s="1"/>
      <c r="D119" s="1"/>
      <c r="E119" s="1"/>
      <c r="F119" s="1"/>
      <c r="G119" s="1"/>
    </row>
    <row r="120">
      <c r="A120" s="4" t="s">
        <v>150</v>
      </c>
      <c r="B120" s="4" t="s">
        <v>35</v>
      </c>
      <c r="C120" s="1"/>
      <c r="D120" s="1"/>
      <c r="E120" s="1"/>
      <c r="F120" s="1"/>
      <c r="G120" s="1"/>
    </row>
    <row r="121">
      <c r="A121" s="4" t="s">
        <v>151</v>
      </c>
      <c r="B121" s="4" t="s">
        <v>35</v>
      </c>
      <c r="C121" s="1"/>
      <c r="D121" s="1"/>
      <c r="E121" s="1"/>
      <c r="F121" s="1"/>
      <c r="G121" s="1"/>
    </row>
    <row r="122">
      <c r="A122" s="4" t="s">
        <v>152</v>
      </c>
      <c r="B122" s="4" t="s">
        <v>35</v>
      </c>
      <c r="C122" s="1"/>
      <c r="D122" s="1"/>
      <c r="E122" s="1"/>
      <c r="F122" s="1"/>
      <c r="G122" s="1"/>
    </row>
    <row r="123">
      <c r="A123" s="4" t="s">
        <v>153</v>
      </c>
      <c r="B123" s="4" t="s">
        <v>35</v>
      </c>
      <c r="C123" s="1"/>
      <c r="D123" s="1"/>
      <c r="E123" s="1"/>
      <c r="F123" s="1"/>
      <c r="G123" s="1"/>
    </row>
    <row r="124">
      <c r="A124" s="4" t="s">
        <v>154</v>
      </c>
      <c r="B124" s="4" t="s">
        <v>35</v>
      </c>
      <c r="C124" s="1"/>
      <c r="D124" s="1"/>
      <c r="E124" s="1"/>
      <c r="F124" s="1"/>
      <c r="G124" s="1"/>
    </row>
    <row r="125">
      <c r="A125" s="4" t="s">
        <v>155</v>
      </c>
      <c r="B125" s="4" t="s">
        <v>35</v>
      </c>
      <c r="C125" s="1"/>
      <c r="D125" s="1"/>
      <c r="E125" s="1"/>
      <c r="F125" s="1"/>
      <c r="G125" s="1"/>
    </row>
    <row r="126">
      <c r="A126" s="4" t="s">
        <v>156</v>
      </c>
      <c r="B126" s="4" t="s">
        <v>157</v>
      </c>
      <c r="C126" s="4">
        <v>4.0</v>
      </c>
      <c r="D126" s="4">
        <v>1.5</v>
      </c>
      <c r="E126" s="4" t="s">
        <v>67</v>
      </c>
      <c r="F126" s="4"/>
      <c r="G126" s="4" t="s">
        <v>158</v>
      </c>
    </row>
    <row r="127">
      <c r="A127" s="4" t="s">
        <v>159</v>
      </c>
      <c r="B127" s="4" t="s">
        <v>35</v>
      </c>
      <c r="C127" s="1"/>
      <c r="D127" s="4"/>
      <c r="E127" s="4"/>
      <c r="F127" s="1"/>
      <c r="G127" s="1"/>
    </row>
    <row r="128">
      <c r="A128" s="4" t="s">
        <v>160</v>
      </c>
      <c r="B128" s="4" t="s">
        <v>35</v>
      </c>
      <c r="C128" s="1"/>
      <c r="D128" s="1"/>
      <c r="E128" s="1"/>
      <c r="F128" s="1"/>
      <c r="G128" s="1"/>
    </row>
    <row r="129">
      <c r="A129" s="4" t="s">
        <v>161</v>
      </c>
      <c r="B129" s="4" t="s">
        <v>35</v>
      </c>
      <c r="C129" s="1"/>
      <c r="D129" s="1"/>
      <c r="E129" s="1"/>
      <c r="F129" s="1"/>
      <c r="G129" s="1"/>
    </row>
    <row r="130">
      <c r="A130" s="4" t="s">
        <v>162</v>
      </c>
      <c r="B130" s="4" t="s">
        <v>35</v>
      </c>
      <c r="C130" s="1"/>
      <c r="D130" s="1"/>
      <c r="E130" s="1"/>
      <c r="F130" s="1"/>
      <c r="G130" s="1"/>
    </row>
    <row r="131">
      <c r="A131" s="4" t="s">
        <v>163</v>
      </c>
      <c r="B131" s="4" t="s">
        <v>35</v>
      </c>
      <c r="C131" s="1"/>
      <c r="D131" s="1"/>
      <c r="E131" s="1"/>
      <c r="F131" s="1"/>
      <c r="G131" s="1"/>
    </row>
    <row r="132">
      <c r="A132" s="4" t="s">
        <v>164</v>
      </c>
      <c r="B132" s="4" t="s">
        <v>35</v>
      </c>
      <c r="C132" s="1"/>
      <c r="D132" s="1"/>
      <c r="E132" s="1"/>
      <c r="F132" s="1"/>
      <c r="G132" s="1"/>
    </row>
    <row r="133">
      <c r="A133" s="4" t="s">
        <v>165</v>
      </c>
      <c r="B133" s="4" t="s">
        <v>35</v>
      </c>
      <c r="C133" s="1"/>
      <c r="D133" s="1"/>
      <c r="E133" s="1"/>
      <c r="F133" s="1"/>
      <c r="G133" s="1"/>
    </row>
    <row r="134">
      <c r="A134" s="4" t="s">
        <v>166</v>
      </c>
      <c r="B134" s="4" t="s">
        <v>35</v>
      </c>
      <c r="C134" s="1"/>
      <c r="D134" s="1"/>
      <c r="E134" s="1"/>
      <c r="F134" s="1"/>
      <c r="G134" s="1"/>
    </row>
    <row r="135">
      <c r="A135" s="4" t="s">
        <v>167</v>
      </c>
      <c r="B135" s="4" t="s">
        <v>168</v>
      </c>
      <c r="C135" s="4">
        <v>80.0</v>
      </c>
      <c r="D135" s="1"/>
      <c r="E135" s="1"/>
      <c r="F135" s="1"/>
      <c r="G135" s="1"/>
    </row>
    <row r="136">
      <c r="A136" s="4" t="s">
        <v>169</v>
      </c>
      <c r="B136" s="4" t="s">
        <v>35</v>
      </c>
      <c r="C136" s="4"/>
      <c r="D136" s="1"/>
      <c r="E136" s="1"/>
      <c r="F136" s="1"/>
      <c r="G136" s="1"/>
    </row>
    <row r="137">
      <c r="A137" s="4" t="s">
        <v>170</v>
      </c>
      <c r="B137" s="4" t="s">
        <v>171</v>
      </c>
      <c r="C137" s="4">
        <v>45.0</v>
      </c>
      <c r="D137" s="1"/>
      <c r="E137" s="1"/>
      <c r="F137" s="1"/>
      <c r="G137" s="1"/>
    </row>
    <row r="138">
      <c r="A138" s="4" t="s">
        <v>170</v>
      </c>
      <c r="B138" s="4" t="s">
        <v>172</v>
      </c>
      <c r="C138" s="4">
        <v>45.0</v>
      </c>
      <c r="D138" s="1"/>
      <c r="E138" s="1"/>
      <c r="F138" s="1"/>
      <c r="G138" s="1"/>
    </row>
    <row r="139">
      <c r="A139" s="4" t="s">
        <v>170</v>
      </c>
      <c r="B139" s="4" t="s">
        <v>173</v>
      </c>
      <c r="C139" s="4">
        <v>60.0</v>
      </c>
      <c r="D139" s="1"/>
      <c r="E139" s="1"/>
      <c r="F139" s="1"/>
      <c r="G139" s="1"/>
    </row>
    <row r="140">
      <c r="A140" s="4" t="s">
        <v>170</v>
      </c>
      <c r="B140" s="4" t="s">
        <v>57</v>
      </c>
      <c r="C140" s="4">
        <v>20.0</v>
      </c>
      <c r="D140" s="1"/>
      <c r="E140" s="1"/>
      <c r="F140" s="1"/>
      <c r="G140" s="1"/>
    </row>
    <row r="141">
      <c r="A141" s="4" t="s">
        <v>174</v>
      </c>
      <c r="B141" s="4" t="s">
        <v>35</v>
      </c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4">
        <v>0.0</v>
      </c>
      <c r="B1" s="1"/>
      <c r="C1" s="6" t="s">
        <v>2</v>
      </c>
      <c r="D1" s="6" t="s">
        <v>5</v>
      </c>
      <c r="E1" s="6" t="s">
        <v>6</v>
      </c>
      <c r="F1" s="6" t="s">
        <v>7</v>
      </c>
      <c r="G1" s="6" t="s">
        <v>10</v>
      </c>
      <c r="H1" s="6" t="s">
        <v>11</v>
      </c>
      <c r="I1" s="6" t="s">
        <v>12</v>
      </c>
      <c r="J1" s="1"/>
    </row>
    <row r="2">
      <c r="A2" s="4">
        <v>1.0</v>
      </c>
      <c r="B2" s="1"/>
      <c r="C2" s="1">
        <f t="array" ref="C2:C11">IF('Atk Speed Calc'!$I$9="Auto Attack",A2:A5,0)+IF('Atk Speed Calc'!$I$9="Flash Cannon",A1:A5,0)+IF('Atk Speed Calc'!$I$9="Pressure",A2:A11,0)+IF('Atk Speed Calc'!$I$9="Triple Axel",A2:A4,0)+IF('Atk Speed Calc'!$I$9="Fighter Mode",A2:A3,0)</f>
        <v>1</v>
      </c>
      <c r="D2" s="1">
        <f t="array" ref="D2">IF('Atk Speed Calc'!$I$10="Dragon Breath",A1:A3,0)</f>
        <v>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1"/>
    </row>
    <row r="3">
      <c r="A3" s="4">
        <v>2.0</v>
      </c>
      <c r="B3" s="1"/>
      <c r="C3" s="1">
        <v>2.0</v>
      </c>
      <c r="D3" s="1"/>
      <c r="E3" s="1"/>
      <c r="F3" s="1"/>
      <c r="G3" s="1"/>
      <c r="H3" s="1"/>
      <c r="I3" s="1"/>
      <c r="J3" s="1"/>
    </row>
    <row r="4">
      <c r="A4" s="4">
        <v>3.0</v>
      </c>
      <c r="B4" s="1"/>
      <c r="C4" s="1">
        <v>3.0</v>
      </c>
      <c r="D4" s="1"/>
      <c r="E4" s="1"/>
      <c r="F4" s="1"/>
      <c r="G4" s="1"/>
      <c r="H4" s="1"/>
      <c r="I4" s="1"/>
      <c r="J4" s="1"/>
    </row>
    <row r="5">
      <c r="A5" s="4">
        <v>4.0</v>
      </c>
      <c r="B5" s="1"/>
      <c r="C5" s="1">
        <v>4.0</v>
      </c>
      <c r="D5" s="1"/>
      <c r="E5" s="1"/>
      <c r="F5" s="1"/>
      <c r="G5" s="1"/>
      <c r="H5" s="1"/>
      <c r="I5" s="1"/>
      <c r="J5" s="1"/>
    </row>
    <row r="6">
      <c r="A6" s="4">
        <v>5.0</v>
      </c>
      <c r="B6" s="1"/>
      <c r="C6" s="1">
        <v>5.0</v>
      </c>
      <c r="D6" s="1"/>
      <c r="E6" s="1"/>
      <c r="F6" s="1"/>
      <c r="G6" s="1"/>
      <c r="H6" s="1"/>
      <c r="I6" s="1"/>
      <c r="J6" s="1"/>
    </row>
    <row r="7">
      <c r="A7" s="4">
        <v>6.0</v>
      </c>
      <c r="B7" s="1"/>
      <c r="C7" s="1">
        <v>6.0</v>
      </c>
      <c r="D7" s="1"/>
      <c r="E7" s="1"/>
      <c r="F7" s="1"/>
      <c r="G7" s="1"/>
      <c r="H7" s="1"/>
      <c r="I7" s="1"/>
      <c r="J7" s="1"/>
    </row>
    <row r="8">
      <c r="A8" s="4">
        <v>7.0</v>
      </c>
      <c r="B8" s="1"/>
      <c r="C8" s="1">
        <v>7.0</v>
      </c>
      <c r="D8" s="1"/>
      <c r="E8" s="1"/>
      <c r="F8" s="1"/>
      <c r="G8" s="1"/>
      <c r="H8" s="1"/>
      <c r="I8" s="1"/>
      <c r="J8" s="1"/>
    </row>
    <row r="9">
      <c r="A9" s="4">
        <v>8.0</v>
      </c>
      <c r="B9" s="1"/>
      <c r="C9" s="1">
        <v>8.0</v>
      </c>
      <c r="D9" s="1"/>
      <c r="E9" s="1"/>
      <c r="F9" s="1"/>
      <c r="G9" s="1"/>
      <c r="H9" s="1"/>
      <c r="I9" s="1"/>
      <c r="J9" s="1"/>
    </row>
    <row r="10">
      <c r="A10" s="4">
        <v>9.0</v>
      </c>
      <c r="B10" s="1"/>
      <c r="C10" s="1">
        <v>9.0</v>
      </c>
      <c r="D10" s="1"/>
      <c r="E10" s="1"/>
      <c r="F10" s="1"/>
      <c r="G10" s="1"/>
      <c r="H10" s="1"/>
      <c r="I10" s="1"/>
      <c r="J10" s="1"/>
    </row>
    <row r="11">
      <c r="A11" s="4">
        <v>10.0</v>
      </c>
      <c r="B11" s="1"/>
      <c r="C11" s="1">
        <v>10.0</v>
      </c>
      <c r="D11" s="1"/>
      <c r="E11" s="1"/>
      <c r="F11" s="1"/>
      <c r="G11" s="1"/>
      <c r="H11" s="1"/>
      <c r="I11" s="1"/>
      <c r="J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drawing r:id="rId1"/>
</worksheet>
</file>